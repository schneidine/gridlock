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overlaps" sheetId="2" state="visible" r:id="rId2"/>
    <sheet name="endpoint_validation" sheetId="3" state="visible" r:id="rId3"/>
    <sheet name="data_quality" sheetId="4" state="visible" r:id="rId4"/>
    <sheet name="organizer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F2D9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utility</t>
        </is>
      </c>
      <c r="C1" s="1" t="inlineStr">
        <is>
          <t>state</t>
        </is>
      </c>
      <c r="D1" s="1" t="inlineStr">
        <is>
          <t>project_name</t>
        </is>
      </c>
      <c r="E1" s="1" t="inlineStr">
        <is>
          <t>name_a</t>
        </is>
      </c>
      <c r="F1" s="1" t="inlineStr">
        <is>
          <t>lat_a</t>
        </is>
      </c>
      <c r="G1" s="1" t="inlineStr">
        <is>
          <t>lon_a</t>
        </is>
      </c>
      <c r="H1" s="1" t="inlineStr">
        <is>
          <t>name_b</t>
        </is>
      </c>
      <c r="I1" s="1" t="inlineStr">
        <is>
          <t>lat_b</t>
        </is>
      </c>
      <c r="J1" s="1" t="inlineStr">
        <is>
          <t>lon_b</t>
        </is>
      </c>
      <c r="K1" s="1" t="inlineStr">
        <is>
          <t>lat_center</t>
        </is>
      </c>
      <c r="L1" s="1" t="inlineStr">
        <is>
          <t>lon_center</t>
        </is>
      </c>
      <c r="M1" s="1" t="inlineStr">
        <is>
          <t>in_service_date</t>
        </is>
      </c>
      <c r="N1" s="1" t="inlineStr">
        <is>
          <t>overlap_count</t>
        </is>
      </c>
      <c r="O1" s="1" t="inlineStr">
        <is>
          <t>overlap_1</t>
        </is>
      </c>
      <c r="P1" s="1" t="inlineStr">
        <is>
          <t>overlap_2</t>
        </is>
      </c>
      <c r="Q1" s="1" t="inlineStr">
        <is>
          <t>overlap_3</t>
        </is>
      </c>
      <c r="R1" s="1" t="inlineStr">
        <is>
          <t>confidence</t>
        </is>
      </c>
      <c r="S1" s="1" t="inlineStr">
        <is>
          <t>conf_a</t>
        </is>
      </c>
      <c r="T1" s="1" t="inlineStr">
        <is>
          <t>conf_b</t>
        </is>
      </c>
      <c r="U1" s="1" t="inlineStr">
        <is>
          <t>source_id</t>
        </is>
      </c>
      <c r="V1" s="1" t="inlineStr">
        <is>
          <t>zone</t>
        </is>
      </c>
      <c r="W1" s="1" t="inlineStr">
        <is>
          <t>total_cost_usd</t>
        </is>
      </c>
      <c r="X1" s="1" t="inlineStr">
        <is>
          <t>notes</t>
        </is>
      </c>
    </row>
    <row r="2">
      <c r="A2" t="inlineStr">
        <is>
          <t>DESC_1</t>
        </is>
      </c>
      <c r="B2" t="inlineStr">
        <is>
          <t>Dominion Energy South Carolina</t>
        </is>
      </c>
      <c r="C2" t="inlineStr">
        <is>
          <t>SC</t>
        </is>
      </c>
      <c r="D2" t="inlineStr">
        <is>
          <t>Queensboro - Ft Johnson 115 kV &amp; Queensboro-Bayfront 115kV (Queensboro-James Island Sect)</t>
        </is>
      </c>
      <c r="E2" t="inlineStr">
        <is>
          <t>Queensboro</t>
        </is>
      </c>
      <c r="F2" t="n">
        <v>32.722793</v>
      </c>
      <c r="G2" t="n">
        <v>-79.967332</v>
      </c>
      <c r="H2" t="inlineStr">
        <is>
          <t>Ft Johnson</t>
        </is>
      </c>
      <c r="K2">
        <f>IF(ISBLANK(I2), F2, IF(ISBLANK(F2), I2, (F2+I2)/2))</f>
        <v/>
      </c>
      <c r="L2">
        <f>IF(ISBLANK(J2), G2, IF(ISBLANK(G2), J2, (G2+J2)/2))</f>
        <v/>
      </c>
      <c r="M2" t="inlineStr">
        <is>
          <t>2023-12-31</t>
        </is>
      </c>
      <c r="N2" t="n">
        <v>0</v>
      </c>
      <c r="R2" t="inlineStr">
        <is>
          <t>confirmed</t>
        </is>
      </c>
      <c r="S2" t="inlineStr">
        <is>
          <t>confirmed</t>
        </is>
      </c>
      <c r="T2" t="inlineStr">
        <is>
          <t>unlocated</t>
        </is>
      </c>
      <c r="U2" t="inlineStr">
        <is>
          <t>6807 B</t>
        </is>
      </c>
      <c r="W2" t="n">
        <v>5404301</v>
      </c>
      <c r="X2" t="inlineStr">
        <is>
          <t>1 of 2 endpoints located; center uses the located one(s) only</t>
        </is>
      </c>
    </row>
    <row r="3">
      <c r="A3" t="inlineStr">
        <is>
          <t>DESC_2</t>
        </is>
      </c>
      <c r="B3" t="inlineStr">
        <is>
          <t>Dominion Energy South Carolina</t>
        </is>
      </c>
      <c r="C3" t="inlineStr">
        <is>
          <t>SC</t>
        </is>
      </c>
      <c r="D3" t="inlineStr">
        <is>
          <t>Union Pier 115-13.8 kV Sub: Tap</t>
        </is>
      </c>
      <c r="E3" t="inlineStr">
        <is>
          <t>Union Pier</t>
        </is>
      </c>
      <c r="K3">
        <f>IF(ISBLANK(I3), F3, IF(ISBLANK(F3), I3, (F3+I3)/2))</f>
        <v/>
      </c>
      <c r="L3">
        <f>IF(ISBLANK(J3), G3, IF(ISBLANK(G3), J3, (G3+J3)/2))</f>
        <v/>
      </c>
      <c r="M3" t="inlineStr">
        <is>
          <t>2027-12-31</t>
        </is>
      </c>
      <c r="N3" t="n">
        <v>0</v>
      </c>
      <c r="R3" t="inlineStr">
        <is>
          <t>unlocated</t>
        </is>
      </c>
      <c r="S3" t="inlineStr">
        <is>
          <t>unlocated</t>
        </is>
      </c>
      <c r="U3" t="inlineStr">
        <is>
          <t>0167C-D</t>
        </is>
      </c>
      <c r="W3" t="n">
        <v>5300000</v>
      </c>
      <c r="X3" t="inlineStr">
        <is>
          <t>no endpoint located</t>
        </is>
      </c>
    </row>
    <row r="4">
      <c r="A4" t="inlineStr">
        <is>
          <t>DESC_3</t>
        </is>
      </c>
      <c r="B4" t="inlineStr">
        <is>
          <t>Dominion Energy South Carolina</t>
        </is>
      </c>
      <c r="C4" t="inlineStr">
        <is>
          <t>SC</t>
        </is>
      </c>
      <c r="D4" t="inlineStr">
        <is>
          <t>Okatie 230-115kV Substation, Jasper – Yemassee 230kV #1 Fold-in</t>
        </is>
      </c>
      <c r="E4" t="inlineStr">
        <is>
          <t>Okatie</t>
        </is>
      </c>
      <c r="F4" t="n">
        <v>32.333758</v>
      </c>
      <c r="G4" t="n">
        <v>-81.032495</v>
      </c>
      <c r="H4" t="inlineStr">
        <is>
          <t>Yemassee</t>
        </is>
      </c>
      <c r="I4" t="n">
        <v>32.6974259</v>
      </c>
      <c r="J4" t="n">
        <v>-80.86379290000001</v>
      </c>
      <c r="K4">
        <f>IF(ISBLANK(I4), F4, IF(ISBLANK(F4), I4, (F4+I4)/2))</f>
        <v/>
      </c>
      <c r="L4">
        <f>IF(ISBLANK(J4), G4, IF(ISBLANK(G4), J4, (G4+J4)/2))</f>
        <v/>
      </c>
      <c r="M4" t="inlineStr">
        <is>
          <t>2024-12-31</t>
        </is>
      </c>
      <c r="N4" t="n">
        <v>2</v>
      </c>
      <c r="O4" t="inlineStr">
        <is>
          <t>GPC_38</t>
        </is>
      </c>
      <c r="P4" t="inlineStr">
        <is>
          <t>GPC_61</t>
        </is>
      </c>
      <c r="R4" t="inlineStr">
        <is>
          <t>confirmed</t>
        </is>
      </c>
      <c r="S4" t="inlineStr">
        <is>
          <t>confirmed</t>
        </is>
      </c>
      <c r="T4" t="inlineStr">
        <is>
          <t>confirmed</t>
        </is>
      </c>
      <c r="U4" t="inlineStr">
        <is>
          <t>0139 M,N</t>
        </is>
      </c>
      <c r="W4" t="n">
        <v>11116933</v>
      </c>
      <c r="X4" t="inlineStr">
        <is>
          <t>yearly figures sum to $10,529,933 but listed total is $11,116,933 ($587,000 unaccounted for, likely spend beyond the 5-year window); listed total kept</t>
        </is>
      </c>
    </row>
    <row r="5">
      <c r="A5" t="inlineStr">
        <is>
          <t>DESC_4</t>
        </is>
      </c>
      <c r="B5" t="inlineStr">
        <is>
          <t>Dominion Energy South Carolina</t>
        </is>
      </c>
      <c r="C5" t="inlineStr">
        <is>
          <t>SC</t>
        </is>
      </c>
      <c r="D5" t="inlineStr">
        <is>
          <t>Cainhoy - Hamlin 115kV: Rebuild Line and Cainhoy – Hamlin 115 kV #2: Construct New 115 kV Line</t>
        </is>
      </c>
      <c r="E5" t="inlineStr">
        <is>
          <t>Cainhoy</t>
        </is>
      </c>
      <c r="F5" t="n">
        <v>32.941402</v>
      </c>
      <c r="G5" t="n">
        <v>-79.8422757</v>
      </c>
      <c r="H5" t="inlineStr">
        <is>
          <t>Hamlin</t>
        </is>
      </c>
      <c r="I5" t="n">
        <v>32.859937</v>
      </c>
      <c r="J5" t="n">
        <v>-79.7884409</v>
      </c>
      <c r="K5">
        <f>IF(ISBLANK(I5), F5, IF(ISBLANK(F5), I5, (F5+I5)/2))</f>
        <v/>
      </c>
      <c r="L5">
        <f>IF(ISBLANK(J5), G5, IF(ISBLANK(G5), J5, (G5+J5)/2))</f>
        <v/>
      </c>
      <c r="M5" t="inlineStr">
        <is>
          <t>2025-12-01</t>
        </is>
      </c>
      <c r="N5" t="n">
        <v>0</v>
      </c>
      <c r="R5" t="inlineStr">
        <is>
          <t>confirmed</t>
        </is>
      </c>
      <c r="S5" t="inlineStr">
        <is>
          <t>confirmed</t>
        </is>
      </c>
      <c r="T5" t="inlineStr">
        <is>
          <t>confirmed</t>
        </is>
      </c>
      <c r="U5" t="inlineStr">
        <is>
          <t>6341 A-F</t>
        </is>
      </c>
      <c r="W5" t="n">
        <v>19890850</v>
      </c>
      <c r="X5" t="inlineStr"/>
    </row>
    <row r="6">
      <c r="A6" t="inlineStr">
        <is>
          <t>DESC_5</t>
        </is>
      </c>
      <c r="B6" t="inlineStr">
        <is>
          <t>Dominion Energy South Carolina</t>
        </is>
      </c>
      <c r="C6" t="inlineStr">
        <is>
          <t>SC</t>
        </is>
      </c>
      <c r="D6" t="inlineStr">
        <is>
          <t>Eastover - Square D 115kV: Rebuild</t>
        </is>
      </c>
      <c r="E6" t="inlineStr">
        <is>
          <t>Eastover</t>
        </is>
      </c>
      <c r="F6" t="n">
        <v>33.8771147</v>
      </c>
      <c r="G6" t="n">
        <v>-80.6922594</v>
      </c>
      <c r="H6" t="inlineStr">
        <is>
          <t>Square D</t>
        </is>
      </c>
      <c r="K6">
        <f>IF(ISBLANK(I6), F6, IF(ISBLANK(F6), I6, (F6+I6)/2))</f>
        <v/>
      </c>
      <c r="L6">
        <f>IF(ISBLANK(J6), G6, IF(ISBLANK(G6), J6, (G6+J6)/2))</f>
        <v/>
      </c>
      <c r="M6" t="inlineStr">
        <is>
          <t>2024-06-01</t>
        </is>
      </c>
      <c r="N6" t="n">
        <v>0</v>
      </c>
      <c r="R6" t="inlineStr">
        <is>
          <t>low_confidence</t>
        </is>
      </c>
      <c r="S6" t="inlineStr">
        <is>
          <t>low_confidence</t>
        </is>
      </c>
      <c r="T6" t="inlineStr">
        <is>
          <t>unlocated</t>
        </is>
      </c>
      <c r="U6" t="inlineStr">
        <is>
          <t>6808 J</t>
        </is>
      </c>
      <c r="W6" t="n">
        <v>11700000</v>
      </c>
      <c r="X6" t="inlineStr">
        <is>
          <t>1 of 2 endpoints located; center uses the located one(s) only</t>
        </is>
      </c>
    </row>
    <row r="7">
      <c r="A7" t="inlineStr">
        <is>
          <t>DESC_6</t>
        </is>
      </c>
      <c r="B7" t="inlineStr">
        <is>
          <t>Dominion Energy South Carolina</t>
        </is>
      </c>
      <c r="C7" t="inlineStr">
        <is>
          <t>SC</t>
        </is>
      </c>
      <c r="D7" t="inlineStr">
        <is>
          <t>Burton-St Helena 115kV: Rebuild Burton-Frogmore Transmission Section</t>
        </is>
      </c>
      <c r="E7" t="inlineStr">
        <is>
          <t>Burton</t>
        </is>
      </c>
      <c r="F7" t="n">
        <v>32.4364883</v>
      </c>
      <c r="G7" t="n">
        <v>-80.7210159</v>
      </c>
      <c r="H7" t="inlineStr">
        <is>
          <t>St Helena</t>
        </is>
      </c>
      <c r="K7">
        <f>IF(ISBLANK(I7), F7, IF(ISBLANK(F7), I7, (F7+I7)/2))</f>
        <v/>
      </c>
      <c r="L7">
        <f>IF(ISBLANK(J7), G7, IF(ISBLANK(G7), J7, (G7+J7)/2))</f>
        <v/>
      </c>
      <c r="M7" t="inlineStr">
        <is>
          <t>2024-12-31</t>
        </is>
      </c>
      <c r="N7" t="n">
        <v>0</v>
      </c>
      <c r="R7" t="inlineStr">
        <is>
          <t>confirmed</t>
        </is>
      </c>
      <c r="S7" t="inlineStr">
        <is>
          <t>confirmed</t>
        </is>
      </c>
      <c r="T7" t="inlineStr">
        <is>
          <t>unlocated</t>
        </is>
      </c>
      <c r="U7" t="inlineStr">
        <is>
          <t>6808 K</t>
        </is>
      </c>
      <c r="W7" t="n">
        <v>8580000</v>
      </c>
      <c r="X7" t="inlineStr">
        <is>
          <t>same named endpoints as project 6808 L (different scope/ID) -- kept as separate rows | 1 of 2 endpoints located; center uses the located one(s) only</t>
        </is>
      </c>
    </row>
    <row r="8">
      <c r="A8" t="inlineStr">
        <is>
          <t>DESC_7</t>
        </is>
      </c>
      <c r="B8" t="inlineStr">
        <is>
          <t>Dominion Energy South Carolina</t>
        </is>
      </c>
      <c r="C8" t="inlineStr">
        <is>
          <t>SC</t>
        </is>
      </c>
      <c r="D8" t="inlineStr">
        <is>
          <t>Burton-St Helena 115kV: Frogmore Distribution - St Helena</t>
        </is>
      </c>
      <c r="E8" t="inlineStr">
        <is>
          <t>Burton</t>
        </is>
      </c>
      <c r="F8" t="n">
        <v>32.4364883</v>
      </c>
      <c r="G8" t="n">
        <v>-80.7210159</v>
      </c>
      <c r="H8" t="inlineStr">
        <is>
          <t>St Helena</t>
        </is>
      </c>
      <c r="K8">
        <f>IF(ISBLANK(I8), F8, IF(ISBLANK(F8), I8, (F8+I8)/2))</f>
        <v/>
      </c>
      <c r="L8">
        <f>IF(ISBLANK(J8), G8, IF(ISBLANK(G8), J8, (G8+J8)/2))</f>
        <v/>
      </c>
      <c r="M8" t="inlineStr">
        <is>
          <t>2025-12-31</t>
        </is>
      </c>
      <c r="N8" t="n">
        <v>0</v>
      </c>
      <c r="R8" t="inlineStr">
        <is>
          <t>confirmed</t>
        </is>
      </c>
      <c r="S8" t="inlineStr">
        <is>
          <t>confirmed</t>
        </is>
      </c>
      <c r="T8" t="inlineStr">
        <is>
          <t>unlocated</t>
        </is>
      </c>
      <c r="U8" t="inlineStr">
        <is>
          <t>6808 L</t>
        </is>
      </c>
      <c r="W8" t="n">
        <v>6925000</v>
      </c>
      <c r="X8" t="inlineStr">
        <is>
          <t>same named endpoints as project 6808 K (different scope/ID) -- kept as separate rows | 1 of 2 endpoints located; center uses the located one(s) only</t>
        </is>
      </c>
    </row>
    <row r="9">
      <c r="A9" t="inlineStr">
        <is>
          <t>DESC_8</t>
        </is>
      </c>
      <c r="B9" t="inlineStr">
        <is>
          <t>Dominion Energy South Carolina</t>
        </is>
      </c>
      <c r="C9" t="inlineStr">
        <is>
          <t>SC</t>
        </is>
      </c>
      <c r="D9" t="inlineStr">
        <is>
          <t>VCS1-Denny Terrace 230kV &amp; VCS1-Pineland 230kV: Rebuild Single Circuit Sections</t>
        </is>
      </c>
      <c r="E9" t="inlineStr">
        <is>
          <t>VCS1</t>
        </is>
      </c>
      <c r="H9" t="inlineStr">
        <is>
          <t>Denny Terrace</t>
        </is>
      </c>
      <c r="I9" t="n">
        <v>34.0576091</v>
      </c>
      <c r="J9" t="n">
        <v>-81.061561</v>
      </c>
      <c r="K9">
        <f>IF(ISBLANK(I9), F9, IF(ISBLANK(F9), I9, (F9+I9)/2))</f>
        <v/>
      </c>
      <c r="L9">
        <f>IF(ISBLANK(J9), G9, IF(ISBLANK(G9), J9, (G9+J9)/2))</f>
        <v/>
      </c>
      <c r="M9" t="inlineStr">
        <is>
          <t>2026-12-31</t>
        </is>
      </c>
      <c r="N9" t="n">
        <v>0</v>
      </c>
      <c r="R9" t="inlineStr">
        <is>
          <t>confirmed</t>
        </is>
      </c>
      <c r="S9" t="inlineStr">
        <is>
          <t>unlocated</t>
        </is>
      </c>
      <c r="T9" t="inlineStr">
        <is>
          <t>confirmed</t>
        </is>
      </c>
      <c r="U9" t="inlineStr">
        <is>
          <t>6808 N,O</t>
        </is>
      </c>
      <c r="W9" t="n">
        <v>4912096</v>
      </c>
      <c r="X9" t="inlineStr">
        <is>
          <t>1 of 2 endpoints located; center uses the located one(s) only</t>
        </is>
      </c>
    </row>
    <row r="10">
      <c r="A10" t="inlineStr">
        <is>
          <t>DESC_9</t>
        </is>
      </c>
      <c r="B10" t="inlineStr">
        <is>
          <t>Dominion Energy South Carolina</t>
        </is>
      </c>
      <c r="C10" t="inlineStr">
        <is>
          <t>SC</t>
        </is>
      </c>
      <c r="D10" t="inlineStr">
        <is>
          <t>Wateree-Killian 230kV: Rebuild</t>
        </is>
      </c>
      <c r="E10" t="inlineStr">
        <is>
          <t>Wateree</t>
        </is>
      </c>
      <c r="F10" t="n">
        <v>34.3346578</v>
      </c>
      <c r="G10" t="n">
        <v>-80.70231939999999</v>
      </c>
      <c r="H10" t="inlineStr">
        <is>
          <t>Killian</t>
        </is>
      </c>
      <c r="I10" t="n">
        <v>34.1359182</v>
      </c>
      <c r="J10" t="n">
        <v>-80.92814679999999</v>
      </c>
      <c r="K10">
        <f>IF(ISBLANK(I10), F10, IF(ISBLANK(F10), I10, (F10+I10)/2))</f>
        <v/>
      </c>
      <c r="L10">
        <f>IF(ISBLANK(J10), G10, IF(ISBLANK(G10), J10, (G10+J10)/2))</f>
        <v/>
      </c>
      <c r="M10" t="inlineStr">
        <is>
          <t>2028-12-31</t>
        </is>
      </c>
      <c r="N10" t="n">
        <v>0</v>
      </c>
      <c r="R10" t="inlineStr">
        <is>
          <t>low_confidence</t>
        </is>
      </c>
      <c r="S10" t="inlineStr">
        <is>
          <t>low_confidence</t>
        </is>
      </c>
      <c r="T10" t="inlineStr">
        <is>
          <t>low_confidence</t>
        </is>
      </c>
      <c r="U10" t="inlineStr">
        <is>
          <t>6808 R</t>
        </is>
      </c>
      <c r="W10" t="n">
        <v>48224719</v>
      </c>
      <c r="X10" t="inlineStr"/>
    </row>
    <row r="11">
      <c r="A11" t="inlineStr">
        <is>
          <t>DESC_10</t>
        </is>
      </c>
      <c r="B11" t="inlineStr">
        <is>
          <t>Dominion Energy South Carolina</t>
        </is>
      </c>
      <c r="C11" t="inlineStr">
        <is>
          <t>SC</t>
        </is>
      </c>
      <c r="D11" t="inlineStr">
        <is>
          <t>Okatie-Bluffton 115kV: Rebuild</t>
        </is>
      </c>
      <c r="E11" t="inlineStr">
        <is>
          <t>Okatie</t>
        </is>
      </c>
      <c r="F11" t="n">
        <v>32.333758</v>
      </c>
      <c r="G11" t="n">
        <v>-81.032495</v>
      </c>
      <c r="H11" t="inlineStr">
        <is>
          <t>Bluffton</t>
        </is>
      </c>
      <c r="I11" t="n">
        <v>32.235027</v>
      </c>
      <c r="J11" t="n">
        <v>-80.85338400000001</v>
      </c>
      <c r="K11">
        <f>IF(ISBLANK(I11), F11, IF(ISBLANK(F11), I11, (F11+I11)/2))</f>
        <v/>
      </c>
      <c r="L11">
        <f>IF(ISBLANK(J11), G11, IF(ISBLANK(G11), J11, (G11+J11)/2))</f>
        <v/>
      </c>
      <c r="M11" t="inlineStr">
        <is>
          <t>2025-06-01</t>
        </is>
      </c>
      <c r="N11" t="n">
        <v>10</v>
      </c>
      <c r="O11" t="inlineStr">
        <is>
          <t>GPC_38</t>
        </is>
      </c>
      <c r="P11" t="inlineStr">
        <is>
          <t>GPC_9</t>
        </is>
      </c>
      <c r="Q11" t="inlineStr">
        <is>
          <t>GPC_61</t>
        </is>
      </c>
      <c r="R11" t="inlineStr">
        <is>
          <t>confirmed</t>
        </is>
      </c>
      <c r="S11" t="inlineStr">
        <is>
          <t>confirmed</t>
        </is>
      </c>
      <c r="T11" t="inlineStr">
        <is>
          <t>confirmed</t>
        </is>
      </c>
      <c r="U11" t="inlineStr">
        <is>
          <t>6808 S</t>
        </is>
      </c>
      <c r="W11" t="n">
        <v>40660000</v>
      </c>
      <c r="X11" t="inlineStr"/>
    </row>
    <row r="12">
      <c r="A12" t="inlineStr">
        <is>
          <t>DESC_11</t>
        </is>
      </c>
      <c r="B12" t="inlineStr">
        <is>
          <t>Dominion Energy South Carolina</t>
        </is>
      </c>
      <c r="C12" t="inlineStr">
        <is>
          <t>SC</t>
        </is>
      </c>
      <c r="D12" t="inlineStr">
        <is>
          <t>Hopkins-CIP 230kV: Rebuild</t>
        </is>
      </c>
      <c r="E12" t="inlineStr">
        <is>
          <t>Hopkins</t>
        </is>
      </c>
      <c r="F12" t="n">
        <v>33.9043212</v>
      </c>
      <c r="G12" t="n">
        <v>-80.8770342</v>
      </c>
      <c r="H12" t="inlineStr">
        <is>
          <t>CIP</t>
        </is>
      </c>
      <c r="K12">
        <f>IF(ISBLANK(I12), F12, IF(ISBLANK(F12), I12, (F12+I12)/2))</f>
        <v/>
      </c>
      <c r="L12">
        <f>IF(ISBLANK(J12), G12, IF(ISBLANK(G12), J12, (G12+J12)/2))</f>
        <v/>
      </c>
      <c r="M12" t="inlineStr">
        <is>
          <t>2025-12-31</t>
        </is>
      </c>
      <c r="N12" t="n">
        <v>0</v>
      </c>
      <c r="R12" t="inlineStr">
        <is>
          <t>low_confidence</t>
        </is>
      </c>
      <c r="S12" t="inlineStr">
        <is>
          <t>low_confidence</t>
        </is>
      </c>
      <c r="T12" t="inlineStr">
        <is>
          <t>unlocated</t>
        </is>
      </c>
      <c r="U12" t="inlineStr">
        <is>
          <t>6808 U</t>
        </is>
      </c>
      <c r="W12" t="n">
        <v>2600000</v>
      </c>
      <c r="X12" t="inlineStr">
        <is>
          <t>1 of 2 endpoints located; center uses the located one(s) only</t>
        </is>
      </c>
    </row>
    <row r="13">
      <c r="A13" t="inlineStr">
        <is>
          <t>DESC_12</t>
        </is>
      </c>
      <c r="B13" t="inlineStr">
        <is>
          <t>Dominion Energy South Carolina</t>
        </is>
      </c>
      <c r="C13" t="inlineStr">
        <is>
          <t>SC</t>
        </is>
      </c>
      <c r="D13" t="inlineStr">
        <is>
          <t>Faber Place-Bayfront 115kV: Rebuild North Bridge Terrace to Bayfront Section</t>
        </is>
      </c>
      <c r="E13" t="inlineStr">
        <is>
          <t>Faber Place</t>
        </is>
      </c>
      <c r="F13" t="n">
        <v>32.8500798</v>
      </c>
      <c r="G13" t="n">
        <v>-80.01462410000001</v>
      </c>
      <c r="H13" t="inlineStr">
        <is>
          <t>Bayfront</t>
        </is>
      </c>
      <c r="I13" t="n">
        <v>32.742122</v>
      </c>
      <c r="J13" t="n">
        <v>-79.96342370000001</v>
      </c>
      <c r="K13">
        <f>IF(ISBLANK(I13), F13, IF(ISBLANK(F13), I13, (F13+I13)/2))</f>
        <v/>
      </c>
      <c r="L13">
        <f>IF(ISBLANK(J13), G13, IF(ISBLANK(G13), J13, (G13+J13)/2))</f>
        <v/>
      </c>
      <c r="M13" t="inlineStr">
        <is>
          <t>2028-12-31</t>
        </is>
      </c>
      <c r="N13" t="n">
        <v>0</v>
      </c>
      <c r="R13" t="inlineStr">
        <is>
          <t>low_confidence</t>
        </is>
      </c>
      <c r="S13" t="inlineStr">
        <is>
          <t>confirmed</t>
        </is>
      </c>
      <c r="T13" t="inlineStr">
        <is>
          <t>low_confidence</t>
        </is>
      </c>
      <c r="U13" t="inlineStr">
        <is>
          <t>6808 V</t>
        </is>
      </c>
      <c r="W13" t="n">
        <v>10200000</v>
      </c>
      <c r="X13" t="inlineStr"/>
    </row>
    <row r="14">
      <c r="A14" t="inlineStr">
        <is>
          <t>DESC_13</t>
        </is>
      </c>
      <c r="B14" t="inlineStr">
        <is>
          <t>Dominion Energy South Carolina</t>
        </is>
      </c>
      <c r="C14" t="inlineStr">
        <is>
          <t>SC</t>
        </is>
      </c>
      <c r="D14" t="inlineStr">
        <is>
          <t>Square D - Hopkins 115kV: Rebuild</t>
        </is>
      </c>
      <c r="E14" t="inlineStr">
        <is>
          <t>Square D</t>
        </is>
      </c>
      <c r="H14" t="inlineStr">
        <is>
          <t>Hopkins</t>
        </is>
      </c>
      <c r="I14" t="n">
        <v>33.9043212</v>
      </c>
      <c r="J14" t="n">
        <v>-80.8770342</v>
      </c>
      <c r="K14">
        <f>IF(ISBLANK(I14), F14, IF(ISBLANK(F14), I14, (F14+I14)/2))</f>
        <v/>
      </c>
      <c r="L14">
        <f>IF(ISBLANK(J14), G14, IF(ISBLANK(G14), J14, (G14+J14)/2))</f>
        <v/>
      </c>
      <c r="M14" t="inlineStr">
        <is>
          <t>2024-09-30</t>
        </is>
      </c>
      <c r="N14" t="n">
        <v>0</v>
      </c>
      <c r="R14" t="inlineStr">
        <is>
          <t>low_confidence</t>
        </is>
      </c>
      <c r="S14" t="inlineStr">
        <is>
          <t>unlocated</t>
        </is>
      </c>
      <c r="T14" t="inlineStr">
        <is>
          <t>low_confidence</t>
        </is>
      </c>
      <c r="U14" t="inlineStr">
        <is>
          <t>6808 W</t>
        </is>
      </c>
      <c r="W14" t="n">
        <v>4300000</v>
      </c>
      <c r="X14" t="inlineStr">
        <is>
          <t>1 of 2 endpoints located; center uses the located one(s) only</t>
        </is>
      </c>
    </row>
    <row r="15">
      <c r="A15" t="inlineStr">
        <is>
          <t>DESC_14</t>
        </is>
      </c>
      <c r="B15" t="inlineStr">
        <is>
          <t>Dominion Energy South Carolina</t>
        </is>
      </c>
      <c r="C15" t="inlineStr">
        <is>
          <t>SC</t>
        </is>
      </c>
      <c r="D15" t="inlineStr">
        <is>
          <t>Stevens Creek - Hooks 115kV/LR Plumb Branch 46kV Rebuilds</t>
        </is>
      </c>
      <c r="E15" t="inlineStr">
        <is>
          <t>Stevens Creek</t>
        </is>
      </c>
      <c r="F15" t="n">
        <v>33.562599</v>
      </c>
      <c r="G15" t="n">
        <v>-82.051362</v>
      </c>
      <c r="H15" t="inlineStr">
        <is>
          <t>Hooks</t>
        </is>
      </c>
      <c r="K15">
        <f>IF(ISBLANK(I15), F15, IF(ISBLANK(F15), I15, (F15+I15)/2))</f>
        <v/>
      </c>
      <c r="L15">
        <f>IF(ISBLANK(J15), G15, IF(ISBLANK(G15), J15, (G15+J15)/2))</f>
        <v/>
      </c>
      <c r="M15" t="inlineStr">
        <is>
          <t>2024-12-31</t>
        </is>
      </c>
      <c r="N15" t="n">
        <v>5</v>
      </c>
      <c r="O15" t="inlineStr">
        <is>
          <t>GPC_128</t>
        </is>
      </c>
      <c r="P15" t="inlineStr">
        <is>
          <t>GPC_129</t>
        </is>
      </c>
      <c r="Q15" t="inlineStr">
        <is>
          <t>GPC_138</t>
        </is>
      </c>
      <c r="R15" t="inlineStr">
        <is>
          <t>confirmed</t>
        </is>
      </c>
      <c r="S15" t="inlineStr">
        <is>
          <t>confirmed</t>
        </is>
      </c>
      <c r="T15" t="inlineStr">
        <is>
          <t>unlocated</t>
        </is>
      </c>
      <c r="U15" t="inlineStr">
        <is>
          <t>6809 E</t>
        </is>
      </c>
      <c r="W15" t="n">
        <v>11745543</v>
      </c>
      <c r="X15" t="inlineStr">
        <is>
          <t>same named endpoints as project 6809 G (different scope/ID) -- kept as separate rows | 1 of 2 endpoints located; center uses the located one(s) only</t>
        </is>
      </c>
    </row>
    <row r="16">
      <c r="A16" t="inlineStr">
        <is>
          <t>DESC_15</t>
        </is>
      </c>
      <c r="B16" t="inlineStr">
        <is>
          <t>Dominion Energy South Carolina</t>
        </is>
      </c>
      <c r="C16" t="inlineStr">
        <is>
          <t>SC</t>
        </is>
      </c>
      <c r="D16" t="inlineStr">
        <is>
          <t>Stevens Creek - Hooks 115kV/LR Plumb Branch 46kV</t>
        </is>
      </c>
      <c r="E16" t="inlineStr">
        <is>
          <t>Stevens Creek</t>
        </is>
      </c>
      <c r="F16" t="n">
        <v>33.562599</v>
      </c>
      <c r="G16" t="n">
        <v>-82.051362</v>
      </c>
      <c r="H16" t="inlineStr">
        <is>
          <t>Hooks</t>
        </is>
      </c>
      <c r="K16">
        <f>IF(ISBLANK(I16), F16, IF(ISBLANK(F16), I16, (F16+I16)/2))</f>
        <v/>
      </c>
      <c r="L16">
        <f>IF(ISBLANK(J16), G16, IF(ISBLANK(G16), J16, (G16+J16)/2))</f>
        <v/>
      </c>
      <c r="M16" t="inlineStr">
        <is>
          <t>2025-12-31</t>
        </is>
      </c>
      <c r="N16" t="n">
        <v>5</v>
      </c>
      <c r="O16" t="inlineStr">
        <is>
          <t>GPC_128</t>
        </is>
      </c>
      <c r="P16" t="inlineStr">
        <is>
          <t>GPC_129</t>
        </is>
      </c>
      <c r="Q16" t="inlineStr">
        <is>
          <t>GPC_138</t>
        </is>
      </c>
      <c r="R16" t="inlineStr">
        <is>
          <t>confirmed</t>
        </is>
      </c>
      <c r="S16" t="inlineStr">
        <is>
          <t>confirmed</t>
        </is>
      </c>
      <c r="T16" t="inlineStr">
        <is>
          <t>unlocated</t>
        </is>
      </c>
      <c r="U16" t="inlineStr">
        <is>
          <t>6809 G</t>
        </is>
      </c>
      <c r="W16" t="n">
        <v>7800000</v>
      </c>
      <c r="X16" t="inlineStr">
        <is>
          <t>same named endpoints as project 6809 E (different scope/ID) -- kept as separate rows | 1 of 2 endpoints located; center uses the located one(s) only</t>
        </is>
      </c>
    </row>
    <row r="17">
      <c r="A17" t="inlineStr">
        <is>
          <t>DESC_16</t>
        </is>
      </c>
      <c r="B17" t="inlineStr">
        <is>
          <t>Dominion Energy South Carolina</t>
        </is>
      </c>
      <c r="C17" t="inlineStr">
        <is>
          <t>SC</t>
        </is>
      </c>
      <c r="D17" t="inlineStr">
        <is>
          <t>Edenwood Sub: #1 &amp; #2 230-115kV Autobanks, Replace with 336MVA</t>
        </is>
      </c>
      <c r="E17" t="inlineStr">
        <is>
          <t>Edenwood</t>
        </is>
      </c>
      <c r="F17" t="n">
        <v>33.953765</v>
      </c>
      <c r="G17" t="n">
        <v>-81.0598155</v>
      </c>
      <c r="K17">
        <f>IF(ISBLANK(I17), F17, IF(ISBLANK(F17), I17, (F17+I17)/2))</f>
        <v/>
      </c>
      <c r="L17">
        <f>IF(ISBLANK(J17), G17, IF(ISBLANK(G17), J17, (G17+J17)/2))</f>
        <v/>
      </c>
      <c r="M17" t="inlineStr">
        <is>
          <t>2024-12-25</t>
        </is>
      </c>
      <c r="N17" t="n">
        <v>0</v>
      </c>
      <c r="R17" t="inlineStr">
        <is>
          <t>low_confidence</t>
        </is>
      </c>
      <c r="S17" t="inlineStr">
        <is>
          <t>low_confidence</t>
        </is>
      </c>
      <c r="U17" t="inlineStr">
        <is>
          <t>6805 G</t>
        </is>
      </c>
      <c r="W17" t="n">
        <v>10833462</v>
      </c>
      <c r="X17" t="inlineStr"/>
    </row>
    <row r="18">
      <c r="A18" t="inlineStr">
        <is>
          <t>DESC_17</t>
        </is>
      </c>
      <c r="B18" t="inlineStr">
        <is>
          <t>Dominion Energy South Carolina</t>
        </is>
      </c>
      <c r="C18" t="inlineStr">
        <is>
          <t>SC</t>
        </is>
      </c>
      <c r="D18" t="inlineStr">
        <is>
          <t>Williams St Sub: Replace Sw House &amp; Relays, AM Williams Sub: Replace Sw House, and McMeekin Sub: Add Sw House</t>
        </is>
      </c>
      <c r="E18" t="inlineStr">
        <is>
          <t>Williams St</t>
        </is>
      </c>
      <c r="K18">
        <f>IF(ISBLANK(I18), F18, IF(ISBLANK(F18), I18, (F18+I18)/2))</f>
        <v/>
      </c>
      <c r="L18">
        <f>IF(ISBLANK(J18), G18, IF(ISBLANK(G18), J18, (G18+J18)/2))</f>
        <v/>
      </c>
      <c r="M18" t="inlineStr">
        <is>
          <t>2028-12-31</t>
        </is>
      </c>
      <c r="N18" t="n">
        <v>0</v>
      </c>
      <c r="R18" t="inlineStr">
        <is>
          <t>unlocated</t>
        </is>
      </c>
      <c r="S18" t="inlineStr">
        <is>
          <t>unlocated</t>
        </is>
      </c>
      <c r="U18" t="inlineStr">
        <is>
          <t>1060A, I, L</t>
        </is>
      </c>
      <c r="W18" t="n">
        <v>9898924</v>
      </c>
      <c r="X18" t="inlineStr">
        <is>
          <t>no endpoint located</t>
        </is>
      </c>
    </row>
    <row r="19">
      <c r="A19" t="inlineStr">
        <is>
          <t>DESC_18</t>
        </is>
      </c>
      <c r="B19" t="inlineStr">
        <is>
          <t>Dominion Energy South Carolina</t>
        </is>
      </c>
      <c r="C19" t="inlineStr">
        <is>
          <t>SC</t>
        </is>
      </c>
      <c r="D19" t="inlineStr">
        <is>
          <t>Harleyville 115KV Transmission Tap – Construct (1.4 miles)</t>
        </is>
      </c>
      <c r="E19" t="inlineStr">
        <is>
          <t>Harleyville</t>
        </is>
      </c>
      <c r="F19" t="n">
        <v>33.2099069</v>
      </c>
      <c r="G19" t="n">
        <v>-80.4511658</v>
      </c>
      <c r="K19">
        <f>IF(ISBLANK(I19), F19, IF(ISBLANK(F19), I19, (F19+I19)/2))</f>
        <v/>
      </c>
      <c r="L19">
        <f>IF(ISBLANK(J19), G19, IF(ISBLANK(G19), J19, (G19+J19)/2))</f>
        <v/>
      </c>
      <c r="M19" t="inlineStr">
        <is>
          <t>2027-03-31</t>
        </is>
      </c>
      <c r="N19" t="n">
        <v>0</v>
      </c>
      <c r="R19" t="inlineStr">
        <is>
          <t>confirmed</t>
        </is>
      </c>
      <c r="S19" t="inlineStr">
        <is>
          <t>confirmed</t>
        </is>
      </c>
      <c r="U19" t="inlineStr">
        <is>
          <t>06005 B</t>
        </is>
      </c>
      <c r="W19" t="n">
        <v>2750000</v>
      </c>
      <c r="X19" t="inlineStr"/>
    </row>
    <row r="20">
      <c r="A20" t="inlineStr">
        <is>
          <t>DESC_19</t>
        </is>
      </c>
      <c r="B20" t="inlineStr">
        <is>
          <t>Dominion Energy South Carolina</t>
        </is>
      </c>
      <c r="C20" t="inlineStr">
        <is>
          <t>SC</t>
        </is>
      </c>
      <c r="D20" t="inlineStr">
        <is>
          <t>Summerville: Replace and Spare 230-115kV 336MVA Auto Bank</t>
        </is>
      </c>
      <c r="E20" t="inlineStr">
        <is>
          <t>Summerville</t>
        </is>
      </c>
      <c r="F20" t="n">
        <v>33.0186699</v>
      </c>
      <c r="G20" t="n">
        <v>-80.17627040000001</v>
      </c>
      <c r="K20">
        <f>IF(ISBLANK(I20), F20, IF(ISBLANK(F20), I20, (F20+I20)/2))</f>
        <v/>
      </c>
      <c r="L20">
        <f>IF(ISBLANK(J20), G20, IF(ISBLANK(G20), J20, (G20+J20)/2))</f>
        <v/>
      </c>
      <c r="M20" t="inlineStr">
        <is>
          <t>2024-12-31</t>
        </is>
      </c>
      <c r="N20" t="n">
        <v>0</v>
      </c>
      <c r="R20" t="inlineStr">
        <is>
          <t>low_confidence</t>
        </is>
      </c>
      <c r="S20" t="inlineStr">
        <is>
          <t>low_confidence</t>
        </is>
      </c>
      <c r="U20" t="inlineStr">
        <is>
          <t>05004 P</t>
        </is>
      </c>
      <c r="W20" t="n">
        <v>3982052</v>
      </c>
      <c r="X20" t="inlineStr">
        <is>
          <t>same named endpoints as project 06810 H (different scope/ID) -- kept as separate rows</t>
        </is>
      </c>
    </row>
    <row r="21">
      <c r="A21" t="inlineStr">
        <is>
          <t>DESC_20</t>
        </is>
      </c>
      <c r="B21" t="inlineStr">
        <is>
          <t>Dominion Energy South Carolina</t>
        </is>
      </c>
      <c r="C21" t="inlineStr">
        <is>
          <t>SC</t>
        </is>
      </c>
      <c r="D21" t="inlineStr">
        <is>
          <t>Canadys-Ritter 115KV-Rebld SPDC 230/115KV 1272 (Approx 18 Miles)</t>
        </is>
      </c>
      <c r="E21" t="inlineStr">
        <is>
          <t>Canadys</t>
        </is>
      </c>
      <c r="F21" t="n">
        <v>33.0640963</v>
      </c>
      <c r="G21" t="n">
        <v>-80.6205999</v>
      </c>
      <c r="H21" t="inlineStr">
        <is>
          <t>Ritter</t>
        </is>
      </c>
      <c r="I21" t="n">
        <v>32.7896202</v>
      </c>
      <c r="J21" t="n">
        <v>-80.6303822</v>
      </c>
      <c r="K21">
        <f>IF(ISBLANK(I21), F21, IF(ISBLANK(F21), I21, (F21+I21)/2))</f>
        <v/>
      </c>
      <c r="L21">
        <f>IF(ISBLANK(J21), G21, IF(ISBLANK(G21), J21, (G21+J21)/2))</f>
        <v/>
      </c>
      <c r="M21" t="inlineStr">
        <is>
          <t>2026-06-01</t>
        </is>
      </c>
      <c r="N21" t="n">
        <v>0</v>
      </c>
      <c r="R21" t="inlineStr">
        <is>
          <t>low_confidence</t>
        </is>
      </c>
      <c r="S21" t="inlineStr">
        <is>
          <t>confirmed</t>
        </is>
      </c>
      <c r="T21" t="inlineStr">
        <is>
          <t>low_confidence</t>
        </is>
      </c>
      <c r="U21" t="inlineStr">
        <is>
          <t>06076A</t>
        </is>
      </c>
      <c r="W21" t="n">
        <v>40000000</v>
      </c>
      <c r="X21" t="inlineStr"/>
    </row>
    <row r="22">
      <c r="A22" t="inlineStr">
        <is>
          <t>DESC_21</t>
        </is>
      </c>
      <c r="B22" t="inlineStr">
        <is>
          <t>Dominion Energy South Carolina</t>
        </is>
      </c>
      <c r="C22" t="inlineStr">
        <is>
          <t>SC</t>
        </is>
      </c>
      <c r="D22" t="inlineStr">
        <is>
          <t>Yemassee– Ritter 230kV #1 &amp; #2: Construct SPDC with B-1272</t>
        </is>
      </c>
      <c r="E22" t="inlineStr">
        <is>
          <t>Yemassee</t>
        </is>
      </c>
      <c r="F22" t="n">
        <v>32.6974259</v>
      </c>
      <c r="G22" t="n">
        <v>-80.86379290000001</v>
      </c>
      <c r="H22" t="inlineStr">
        <is>
          <t>Ritter</t>
        </is>
      </c>
      <c r="I22" t="n">
        <v>32.7896202</v>
      </c>
      <c r="J22" t="n">
        <v>-80.6303822</v>
      </c>
      <c r="K22">
        <f>IF(ISBLANK(I22), F22, IF(ISBLANK(F22), I22, (F22+I22)/2))</f>
        <v/>
      </c>
      <c r="L22">
        <f>IF(ISBLANK(J22), G22, IF(ISBLANK(G22), J22, (G22+J22)/2))</f>
        <v/>
      </c>
      <c r="M22" t="inlineStr">
        <is>
          <t>2026-06-01</t>
        </is>
      </c>
      <c r="N22" t="n">
        <v>0</v>
      </c>
      <c r="R22" t="inlineStr">
        <is>
          <t>low_confidence</t>
        </is>
      </c>
      <c r="S22" t="inlineStr">
        <is>
          <t>confirmed</t>
        </is>
      </c>
      <c r="T22" t="inlineStr">
        <is>
          <t>low_confidence</t>
        </is>
      </c>
      <c r="U22" t="inlineStr">
        <is>
          <t>6359</t>
        </is>
      </c>
      <c r="W22" t="n">
        <v>40611419</v>
      </c>
      <c r="X22" t="inlineStr"/>
    </row>
    <row r="23">
      <c r="A23" t="inlineStr">
        <is>
          <t>DESC_22</t>
        </is>
      </c>
      <c r="B23" t="inlineStr">
        <is>
          <t>Dominion Energy South Carolina</t>
        </is>
      </c>
      <c r="C23" t="inlineStr">
        <is>
          <t>SC</t>
        </is>
      </c>
      <c r="D23" t="inlineStr">
        <is>
          <t>Riverport Tap: Construct Tap</t>
        </is>
      </c>
      <c r="E23" t="inlineStr">
        <is>
          <t>Riverport</t>
        </is>
      </c>
      <c r="K23">
        <f>IF(ISBLANK(I23), F23, IF(ISBLANK(F23), I23, (F23+I23)/2))</f>
        <v/>
      </c>
      <c r="L23">
        <f>IF(ISBLANK(J23), G23, IF(ISBLANK(G23), J23, (G23+J23)/2))</f>
        <v/>
      </c>
      <c r="M23" t="inlineStr">
        <is>
          <t>2025-12-31</t>
        </is>
      </c>
      <c r="N23" t="n">
        <v>0</v>
      </c>
      <c r="R23" t="inlineStr">
        <is>
          <t>unlocated</t>
        </is>
      </c>
      <c r="S23" t="inlineStr">
        <is>
          <t>unlocated</t>
        </is>
      </c>
      <c r="U23" t="inlineStr">
        <is>
          <t>06367 A - C, H</t>
        </is>
      </c>
      <c r="W23" t="n">
        <v>34877427</v>
      </c>
      <c r="X23" t="inlineStr">
        <is>
          <t>malformed cost cell 2024=$19,00,181; repaired to $19,000,181 (the only value consistent with the listed total $34,877,427) | no endpoint located</t>
        </is>
      </c>
    </row>
    <row r="24">
      <c r="A24" t="inlineStr">
        <is>
          <t>DESC_23</t>
        </is>
      </c>
      <c r="B24" t="inlineStr">
        <is>
          <t>Dominion Energy South Carolina</t>
        </is>
      </c>
      <c r="C24" t="inlineStr">
        <is>
          <t>SC</t>
        </is>
      </c>
      <c r="D24" t="inlineStr">
        <is>
          <t>Jasper – Okatie 230 kV #2: Construct</t>
        </is>
      </c>
      <c r="E24" t="inlineStr">
        <is>
          <t>Jasper</t>
        </is>
      </c>
      <c r="F24" t="n">
        <v>32.35912</v>
      </c>
      <c r="G24" t="n">
        <v>-81.1246</v>
      </c>
      <c r="H24" t="inlineStr">
        <is>
          <t>Okatie</t>
        </is>
      </c>
      <c r="I24" t="n">
        <v>32.333758</v>
      </c>
      <c r="J24" t="n">
        <v>-81.032495</v>
      </c>
      <c r="K24">
        <f>IF(ISBLANK(I24), F24, IF(ISBLANK(F24), I24, (F24+I24)/2))</f>
        <v/>
      </c>
      <c r="L24">
        <f>IF(ISBLANK(J24), G24, IF(ISBLANK(G24), J24, (G24+J24)/2))</f>
        <v/>
      </c>
      <c r="M24" t="inlineStr">
        <is>
          <t>2025-12-31</t>
        </is>
      </c>
      <c r="N24" t="n">
        <v>11</v>
      </c>
      <c r="O24" t="inlineStr">
        <is>
          <t>GPC_38</t>
        </is>
      </c>
      <c r="P24" t="inlineStr">
        <is>
          <t>GPC_61</t>
        </is>
      </c>
      <c r="Q24" t="inlineStr">
        <is>
          <t>GPC_60</t>
        </is>
      </c>
      <c r="R24" t="inlineStr">
        <is>
          <t>confirmed</t>
        </is>
      </c>
      <c r="S24" t="inlineStr">
        <is>
          <t>confirmed</t>
        </is>
      </c>
      <c r="T24" t="inlineStr">
        <is>
          <t>confirmed</t>
        </is>
      </c>
      <c r="U24" t="inlineStr">
        <is>
          <t>06367 D - G</t>
        </is>
      </c>
      <c r="W24" t="n">
        <v>23787423</v>
      </c>
      <c r="X24" t="inlineStr"/>
    </row>
    <row r="25">
      <c r="A25" t="inlineStr">
        <is>
          <t>DESC_24</t>
        </is>
      </c>
      <c r="B25" t="inlineStr">
        <is>
          <t>Dominion Energy South Carolina</t>
        </is>
      </c>
      <c r="C25" t="inlineStr">
        <is>
          <t>SC</t>
        </is>
      </c>
      <c r="D25" t="inlineStr">
        <is>
          <t>Wagener 115kV Tap: Construct Tap</t>
        </is>
      </c>
      <c r="E25" t="inlineStr">
        <is>
          <t>Wagener</t>
        </is>
      </c>
      <c r="F25" t="n">
        <v>33.6501119</v>
      </c>
      <c r="G25" t="n">
        <v>-81.3605659</v>
      </c>
      <c r="K25">
        <f>IF(ISBLANK(I25), F25, IF(ISBLANK(F25), I25, (F25+I25)/2))</f>
        <v/>
      </c>
      <c r="L25">
        <f>IF(ISBLANK(J25), G25, IF(ISBLANK(G25), J25, (G25+J25)/2))</f>
        <v/>
      </c>
      <c r="M25" t="inlineStr">
        <is>
          <t>2025-12-31</t>
        </is>
      </c>
      <c r="N25" t="n">
        <v>0</v>
      </c>
      <c r="R25" t="inlineStr">
        <is>
          <t>confirmed</t>
        </is>
      </c>
      <c r="S25" t="inlineStr">
        <is>
          <t>confirmed</t>
        </is>
      </c>
      <c r="U25" t="inlineStr">
        <is>
          <t>06371 D</t>
        </is>
      </c>
      <c r="W25" t="n">
        <v>6005000</v>
      </c>
      <c r="X25" t="inlineStr"/>
    </row>
    <row r="26">
      <c r="A26" t="inlineStr">
        <is>
          <t>DESC_25</t>
        </is>
      </c>
      <c r="B26" t="inlineStr">
        <is>
          <t>Dominion Energy South Carolina</t>
        </is>
      </c>
      <c r="C26" t="inlineStr">
        <is>
          <t>SC</t>
        </is>
      </c>
      <c r="D26" t="inlineStr">
        <is>
          <t>Church Creek - Ritter 230kV - Replace 38 Large Angles and Dead Ends</t>
        </is>
      </c>
      <c r="E26" t="inlineStr">
        <is>
          <t>Church Creek</t>
        </is>
      </c>
      <c r="F26" t="n">
        <v>32.8303196</v>
      </c>
      <c r="G26" t="n">
        <v>-80.0702792</v>
      </c>
      <c r="H26" t="inlineStr">
        <is>
          <t>Ritter</t>
        </is>
      </c>
      <c r="I26" t="n">
        <v>32.7896202</v>
      </c>
      <c r="J26" t="n">
        <v>-80.6303822</v>
      </c>
      <c r="K26">
        <f>IF(ISBLANK(I26), F26, IF(ISBLANK(F26), I26, (F26+I26)/2))</f>
        <v/>
      </c>
      <c r="L26">
        <f>IF(ISBLANK(J26), G26, IF(ISBLANK(G26), J26, (G26+J26)/2))</f>
        <v/>
      </c>
      <c r="M26" t="inlineStr">
        <is>
          <t>2024-06-01</t>
        </is>
      </c>
      <c r="N26" t="n">
        <v>0</v>
      </c>
      <c r="R26" t="inlineStr">
        <is>
          <t>low_confidence</t>
        </is>
      </c>
      <c r="S26" t="inlineStr">
        <is>
          <t>confirmed</t>
        </is>
      </c>
      <c r="T26" t="inlineStr">
        <is>
          <t>low_confidence</t>
        </is>
      </c>
      <c r="U26" t="inlineStr">
        <is>
          <t>06372 A</t>
        </is>
      </c>
      <c r="W26" t="n">
        <v>10850000</v>
      </c>
      <c r="X26" t="inlineStr"/>
    </row>
    <row r="27">
      <c r="A27" t="inlineStr">
        <is>
          <t>DESC_26</t>
        </is>
      </c>
      <c r="B27" t="inlineStr">
        <is>
          <t>Dominion Energy South Carolina</t>
        </is>
      </c>
      <c r="C27" t="inlineStr">
        <is>
          <t>SC</t>
        </is>
      </c>
      <c r="D27" t="inlineStr">
        <is>
          <t>VCS2-Ward 230kV: Rebuild Line</t>
        </is>
      </c>
      <c r="E27" t="inlineStr">
        <is>
          <t>VCS2</t>
        </is>
      </c>
      <c r="H27" t="inlineStr">
        <is>
          <t>Ward</t>
        </is>
      </c>
      <c r="I27" t="n">
        <v>33.87218</v>
      </c>
      <c r="J27" t="n">
        <v>-81.69772279999999</v>
      </c>
      <c r="K27">
        <f>IF(ISBLANK(I27), F27, IF(ISBLANK(F27), I27, (F27+I27)/2))</f>
        <v/>
      </c>
      <c r="L27">
        <f>IF(ISBLANK(J27), G27, IF(ISBLANK(G27), J27, (G27+J27)/2))</f>
        <v/>
      </c>
      <c r="M27" t="inlineStr">
        <is>
          <t>2029-12-31</t>
        </is>
      </c>
      <c r="N27" t="n">
        <v>0</v>
      </c>
      <c r="R27" t="inlineStr">
        <is>
          <t>confirmed</t>
        </is>
      </c>
      <c r="S27" t="inlineStr">
        <is>
          <t>unlocated</t>
        </is>
      </c>
      <c r="T27" t="inlineStr">
        <is>
          <t>confirmed</t>
        </is>
      </c>
      <c r="U27" t="inlineStr">
        <is>
          <t>06810 F</t>
        </is>
      </c>
      <c r="W27" t="n">
        <v>30000000</v>
      </c>
      <c r="X27" t="inlineStr">
        <is>
          <t>yearly figures sum to $20,000,000 but listed total is $30,000,000 ($10,000,000 unaccounted for, likely spend beyond the 5-year window); listed total kept | 1 of 2 endpoints located; center uses the located one(s) only</t>
        </is>
      </c>
    </row>
    <row r="28">
      <c r="A28" t="inlineStr">
        <is>
          <t>DESC_27</t>
        </is>
      </c>
      <c r="B28" t="inlineStr">
        <is>
          <t>Dominion Energy South Carolina</t>
        </is>
      </c>
      <c r="C28" t="inlineStr">
        <is>
          <t>SC</t>
        </is>
      </c>
      <c r="D28" t="inlineStr">
        <is>
          <t>Goose Creek Reservoir: Rebuild Transmission Line Crossings</t>
        </is>
      </c>
      <c r="E28" t="inlineStr">
        <is>
          <t>Goose Creek Reservoir</t>
        </is>
      </c>
      <c r="K28">
        <f>IF(ISBLANK(I28), F28, IF(ISBLANK(F28), I28, (F28+I28)/2))</f>
        <v/>
      </c>
      <c r="L28">
        <f>IF(ISBLANK(J28), G28, IF(ISBLANK(G28), J28, (G28+J28)/2))</f>
        <v/>
      </c>
      <c r="M28" t="inlineStr">
        <is>
          <t>2024-12-31</t>
        </is>
      </c>
      <c r="N28" t="n">
        <v>0</v>
      </c>
      <c r="R28" t="inlineStr">
        <is>
          <t>unlocated</t>
        </is>
      </c>
      <c r="S28" t="inlineStr">
        <is>
          <t>unlocated</t>
        </is>
      </c>
      <c r="U28" t="inlineStr">
        <is>
          <t>06810 G</t>
        </is>
      </c>
      <c r="W28" t="n">
        <v>9655669</v>
      </c>
      <c r="X28" t="inlineStr">
        <is>
          <t>no endpoint located</t>
        </is>
      </c>
    </row>
    <row r="29">
      <c r="A29" t="inlineStr">
        <is>
          <t>DESC_28</t>
        </is>
      </c>
      <c r="B29" t="inlineStr">
        <is>
          <t>Dominion Energy South Carolina</t>
        </is>
      </c>
      <c r="C29" t="inlineStr">
        <is>
          <t>SC</t>
        </is>
      </c>
      <c r="D29" t="inlineStr">
        <is>
          <t>Summerville 115kV Loop: Rebuild</t>
        </is>
      </c>
      <c r="E29" t="inlineStr">
        <is>
          <t>Summerville</t>
        </is>
      </c>
      <c r="F29" t="n">
        <v>33.0186699</v>
      </c>
      <c r="G29" t="n">
        <v>-80.17627040000001</v>
      </c>
      <c r="K29">
        <f>IF(ISBLANK(I29), F29, IF(ISBLANK(F29), I29, (F29+I29)/2))</f>
        <v/>
      </c>
      <c r="L29">
        <f>IF(ISBLANK(J29), G29, IF(ISBLANK(G29), J29, (G29+J29)/2))</f>
        <v/>
      </c>
      <c r="M29" t="inlineStr">
        <is>
          <t>2024-12-31</t>
        </is>
      </c>
      <c r="N29" t="n">
        <v>0</v>
      </c>
      <c r="R29" t="inlineStr">
        <is>
          <t>low_confidence</t>
        </is>
      </c>
      <c r="S29" t="inlineStr">
        <is>
          <t>low_confidence</t>
        </is>
      </c>
      <c r="U29" t="inlineStr">
        <is>
          <t>06810 H</t>
        </is>
      </c>
      <c r="W29" t="n">
        <v>12475000</v>
      </c>
      <c r="X29" t="inlineStr">
        <is>
          <t>same named endpoints as project 05004 P (different scope/ID) -- kept as separate rows</t>
        </is>
      </c>
    </row>
    <row r="30">
      <c r="A30" t="inlineStr">
        <is>
          <t>DESC_29</t>
        </is>
      </c>
      <c r="B30" t="inlineStr">
        <is>
          <t>Dominion Energy South Carolina</t>
        </is>
      </c>
      <c r="C30" t="inlineStr">
        <is>
          <t>SC</t>
        </is>
      </c>
      <c r="D30" t="inlineStr">
        <is>
          <t>St George - Sumter 230kV Tie: Rebuild Line from Santee Substation - Duke/Progress Energy Tie</t>
        </is>
      </c>
      <c r="E30" t="inlineStr">
        <is>
          <t>St George</t>
        </is>
      </c>
      <c r="F30" t="n">
        <v>33.1859958</v>
      </c>
      <c r="G30" t="n">
        <v>-80.57565339999999</v>
      </c>
      <c r="H30" t="inlineStr">
        <is>
          <t>Sumter</t>
        </is>
      </c>
      <c r="I30" t="n">
        <v>33.8976611</v>
      </c>
      <c r="J30" t="n">
        <v>-80.3239761</v>
      </c>
      <c r="K30">
        <f>IF(ISBLANK(I30), F30, IF(ISBLANK(F30), I30, (F30+I30)/2))</f>
        <v/>
      </c>
      <c r="L30">
        <f>IF(ISBLANK(J30), G30, IF(ISBLANK(G30), J30, (G30+J30)/2))</f>
        <v/>
      </c>
      <c r="M30" t="inlineStr">
        <is>
          <t>2025-12-31</t>
        </is>
      </c>
      <c r="N30" t="n">
        <v>0</v>
      </c>
      <c r="R30" t="inlineStr">
        <is>
          <t>low_confidence</t>
        </is>
      </c>
      <c r="S30" t="inlineStr">
        <is>
          <t>low_confidence</t>
        </is>
      </c>
      <c r="T30" t="inlineStr">
        <is>
          <t>confirmed</t>
        </is>
      </c>
      <c r="U30" t="inlineStr">
        <is>
          <t>6809 M</t>
        </is>
      </c>
      <c r="W30" t="n">
        <v>4000000</v>
      </c>
      <c r="X30" t="inlineStr"/>
    </row>
    <row r="31">
      <c r="A31" t="inlineStr">
        <is>
          <t>DESC_30</t>
        </is>
      </c>
      <c r="B31" t="inlineStr">
        <is>
          <t>Dominion Energy South Carolina</t>
        </is>
      </c>
      <c r="C31" t="inlineStr">
        <is>
          <t>SC</t>
        </is>
      </c>
      <c r="D31" t="inlineStr">
        <is>
          <t>Coit – Gills Creek 115kV: Construct</t>
        </is>
      </c>
      <c r="E31" t="inlineStr">
        <is>
          <t>Coit</t>
        </is>
      </c>
      <c r="H31" t="inlineStr">
        <is>
          <t>Gills Creek</t>
        </is>
      </c>
      <c r="K31">
        <f>IF(ISBLANK(I31), F31, IF(ISBLANK(F31), I31, (F31+I31)/2))</f>
        <v/>
      </c>
      <c r="L31">
        <f>IF(ISBLANK(J31), G31, IF(ISBLANK(G31), J31, (G31+J31)/2))</f>
        <v/>
      </c>
      <c r="M31" t="inlineStr">
        <is>
          <t>2024-12-31</t>
        </is>
      </c>
      <c r="N31" t="n">
        <v>0</v>
      </c>
      <c r="R31" t="inlineStr">
        <is>
          <t>unlocated</t>
        </is>
      </c>
      <c r="S31" t="inlineStr">
        <is>
          <t>unlocated</t>
        </is>
      </c>
      <c r="T31" t="inlineStr">
        <is>
          <t>unlocated</t>
        </is>
      </c>
      <c r="U31" t="inlineStr">
        <is>
          <t>5392 A-C</t>
        </is>
      </c>
      <c r="W31" t="n">
        <v>2509602</v>
      </c>
      <c r="X31" t="inlineStr">
        <is>
          <t>no endpoint located</t>
        </is>
      </c>
    </row>
    <row r="32">
      <c r="A32" t="inlineStr">
        <is>
          <t>DESC_31</t>
        </is>
      </c>
      <c r="B32" t="inlineStr">
        <is>
          <t>Dominion Energy South Carolina</t>
        </is>
      </c>
      <c r="C32" t="inlineStr">
        <is>
          <t>SC</t>
        </is>
      </c>
      <c r="D32" t="inlineStr">
        <is>
          <t>Hooks - Thurmond 115kV Tie: Rebuild</t>
        </is>
      </c>
      <c r="E32" t="inlineStr">
        <is>
          <t>Hooks</t>
        </is>
      </c>
      <c r="H32" t="inlineStr">
        <is>
          <t>Thurmond</t>
        </is>
      </c>
      <c r="I32" t="n">
        <v>33.660127</v>
      </c>
      <c r="J32" t="n">
        <v>-82.195931</v>
      </c>
      <c r="K32">
        <f>IF(ISBLANK(I32), F32, IF(ISBLANK(F32), I32, (F32+I32)/2))</f>
        <v/>
      </c>
      <c r="L32">
        <f>IF(ISBLANK(J32), G32, IF(ISBLANK(G32), J32, (G32+J32)/2))</f>
        <v/>
      </c>
      <c r="M32" t="inlineStr">
        <is>
          <t>2024-12-31</t>
        </is>
      </c>
      <c r="N32" t="n">
        <v>4</v>
      </c>
      <c r="O32" t="inlineStr">
        <is>
          <t>GPC_128</t>
        </is>
      </c>
      <c r="P32" t="inlineStr">
        <is>
          <t>GPC_129</t>
        </is>
      </c>
      <c r="Q32" t="inlineStr">
        <is>
          <t>GPC_138</t>
        </is>
      </c>
      <c r="R32" t="inlineStr">
        <is>
          <t>confirmed</t>
        </is>
      </c>
      <c r="S32" t="inlineStr">
        <is>
          <t>unlocated</t>
        </is>
      </c>
      <c r="T32" t="inlineStr">
        <is>
          <t>confirmed</t>
        </is>
      </c>
      <c r="U32" t="inlineStr">
        <is>
          <t>6810 A</t>
        </is>
      </c>
      <c r="W32" t="n">
        <v>2200080</v>
      </c>
      <c r="X32" t="inlineStr">
        <is>
          <t>1 of 2 endpoints located; center uses the located one(s) only</t>
        </is>
      </c>
    </row>
    <row r="33">
      <c r="A33" t="inlineStr">
        <is>
          <t>DESC_32</t>
        </is>
      </c>
      <c r="B33" t="inlineStr">
        <is>
          <t>Dominion Energy South Carolina</t>
        </is>
      </c>
      <c r="C33" t="inlineStr">
        <is>
          <t>SC</t>
        </is>
      </c>
      <c r="D33" t="inlineStr">
        <is>
          <t>Batesburg - Saluda County 115kV: Rebuild</t>
        </is>
      </c>
      <c r="E33" t="inlineStr">
        <is>
          <t>Batesburg</t>
        </is>
      </c>
      <c r="F33" t="n">
        <v>33.9134867</v>
      </c>
      <c r="G33" t="n">
        <v>-81.5644353</v>
      </c>
      <c r="H33" t="inlineStr">
        <is>
          <t>Saluda County</t>
        </is>
      </c>
      <c r="K33">
        <f>IF(ISBLANK(I33), F33, IF(ISBLANK(F33), I33, (F33+I33)/2))</f>
        <v/>
      </c>
      <c r="L33">
        <f>IF(ISBLANK(J33), G33, IF(ISBLANK(G33), J33, (G33+J33)/2))</f>
        <v/>
      </c>
      <c r="M33" t="inlineStr">
        <is>
          <t>2025-12-31</t>
        </is>
      </c>
      <c r="N33" t="n">
        <v>0</v>
      </c>
      <c r="R33" t="inlineStr">
        <is>
          <t>confirmed</t>
        </is>
      </c>
      <c r="S33" t="inlineStr">
        <is>
          <t>confirmed</t>
        </is>
      </c>
      <c r="T33" t="inlineStr">
        <is>
          <t>unlocated</t>
        </is>
      </c>
      <c r="U33" t="inlineStr">
        <is>
          <t>6809 N</t>
        </is>
      </c>
      <c r="W33" t="n">
        <v>8750000</v>
      </c>
      <c r="X33" t="inlineStr">
        <is>
          <t>1 of 2 endpoints located; center uses the located one(s) only</t>
        </is>
      </c>
    </row>
    <row r="34">
      <c r="A34" t="inlineStr">
        <is>
          <t>DESC_33</t>
        </is>
      </c>
      <c r="B34" t="inlineStr">
        <is>
          <t>Dominion Energy South Carolina</t>
        </is>
      </c>
      <c r="C34" t="inlineStr">
        <is>
          <t>SC</t>
        </is>
      </c>
      <c r="D34" t="inlineStr">
        <is>
          <t>Scout 230 kV Sub and Fold-in: Construct</t>
        </is>
      </c>
      <c r="E34" t="inlineStr">
        <is>
          <t>Scout</t>
        </is>
      </c>
      <c r="K34">
        <f>IF(ISBLANK(I34), F34, IF(ISBLANK(F34), I34, (F34+I34)/2))</f>
        <v/>
      </c>
      <c r="L34">
        <f>IF(ISBLANK(J34), G34, IF(ISBLANK(G34), J34, (G34+J34)/2))</f>
        <v/>
      </c>
      <c r="M34" t="inlineStr">
        <is>
          <t>2026-03-31</t>
        </is>
      </c>
      <c r="N34" t="n">
        <v>0</v>
      </c>
      <c r="R34" t="inlineStr">
        <is>
          <t>unlocated</t>
        </is>
      </c>
      <c r="S34" t="inlineStr">
        <is>
          <t>unlocated</t>
        </is>
      </c>
      <c r="U34" t="inlineStr">
        <is>
          <t>6853 B-F</t>
        </is>
      </c>
      <c r="W34" t="n">
        <v>23685000</v>
      </c>
      <c r="X34" t="inlineStr">
        <is>
          <t>no endpoint located</t>
        </is>
      </c>
    </row>
    <row r="35">
      <c r="A35" t="inlineStr">
        <is>
          <t>DESC_34</t>
        </is>
      </c>
      <c r="B35" t="inlineStr">
        <is>
          <t>Dominion Energy South Carolina</t>
        </is>
      </c>
      <c r="C35" t="inlineStr">
        <is>
          <t>SC</t>
        </is>
      </c>
      <c r="D35" t="inlineStr">
        <is>
          <t>Dawson 230kV Sub and Fold-in: Construct and Rebuild</t>
        </is>
      </c>
      <c r="E35" t="inlineStr">
        <is>
          <t>Dawson</t>
        </is>
      </c>
      <c r="K35">
        <f>IF(ISBLANK(I35), F35, IF(ISBLANK(F35), I35, (F35+I35)/2))</f>
        <v/>
      </c>
      <c r="L35">
        <f>IF(ISBLANK(J35), G35, IF(ISBLANK(G35), J35, (G35+J35)/2))</f>
        <v/>
      </c>
      <c r="M35" t="inlineStr">
        <is>
          <t>2025-10-01</t>
        </is>
      </c>
      <c r="N35" t="n">
        <v>0</v>
      </c>
      <c r="R35" t="inlineStr">
        <is>
          <t>unlocated</t>
        </is>
      </c>
      <c r="S35" t="inlineStr">
        <is>
          <t>unlocated</t>
        </is>
      </c>
      <c r="U35" t="inlineStr">
        <is>
          <t>6859</t>
        </is>
      </c>
      <c r="W35" t="n">
        <v>93538207</v>
      </c>
      <c r="X35" t="inlineStr">
        <is>
          <t>in-service date '10/1/2025 (phase 1) and 10/1/2026 (phase 2)' has extra text; used first date 2025-10-01 | no endpoint located</t>
        </is>
      </c>
    </row>
    <row r="36">
      <c r="A36" t="inlineStr">
        <is>
          <t>DESC_35</t>
        </is>
      </c>
      <c r="B36" t="inlineStr">
        <is>
          <t>Dominion Energy South Carolina</t>
        </is>
      </c>
      <c r="C36" t="inlineStr">
        <is>
          <t>SC</t>
        </is>
      </c>
      <c r="D36" t="inlineStr">
        <is>
          <t>Urquhart – Toolebeck 115kV line: Rebuild</t>
        </is>
      </c>
      <c r="E36" t="inlineStr">
        <is>
          <t>Urquhart</t>
        </is>
      </c>
      <c r="F36" t="n">
        <v>33.4328703</v>
      </c>
      <c r="G36" t="n">
        <v>-81.9110807</v>
      </c>
      <c r="H36" t="inlineStr">
        <is>
          <t>Toolebeck</t>
        </is>
      </c>
      <c r="I36" t="n">
        <v>33.5346321</v>
      </c>
      <c r="J36" t="n">
        <v>-81.6693272</v>
      </c>
      <c r="K36">
        <f>IF(ISBLANK(I36), F36, IF(ISBLANK(F36), I36, (F36+I36)/2))</f>
        <v/>
      </c>
      <c r="L36">
        <f>IF(ISBLANK(J36), G36, IF(ISBLANK(G36), J36, (G36+J36)/2))</f>
        <v/>
      </c>
      <c r="M36" t="inlineStr">
        <is>
          <t>2026-08-12</t>
        </is>
      </c>
      <c r="N36" t="n">
        <v>3</v>
      </c>
      <c r="O36" t="inlineStr">
        <is>
          <t>GPC_111</t>
        </is>
      </c>
      <c r="P36" t="inlineStr">
        <is>
          <t>GPC_128</t>
        </is>
      </c>
      <c r="Q36" t="inlineStr">
        <is>
          <t>GPC_129</t>
        </is>
      </c>
      <c r="R36" t="inlineStr">
        <is>
          <t>confirmed</t>
        </is>
      </c>
      <c r="S36" t="inlineStr">
        <is>
          <t>confirmed</t>
        </is>
      </c>
      <c r="T36" t="inlineStr">
        <is>
          <t>confirmed</t>
        </is>
      </c>
      <c r="U36" t="inlineStr">
        <is>
          <t>6852</t>
        </is>
      </c>
      <c r="W36" t="n">
        <v>17520000</v>
      </c>
      <c r="X36" t="inlineStr"/>
    </row>
    <row r="37">
      <c r="A37" t="inlineStr">
        <is>
          <t>DESC_36</t>
        </is>
      </c>
      <c r="B37" t="inlineStr">
        <is>
          <t>Dominion Energy South Carolina</t>
        </is>
      </c>
      <c r="C37" t="inlineStr">
        <is>
          <t>SC</t>
        </is>
      </c>
      <c r="D37" t="inlineStr">
        <is>
          <t>Williams-Summerville 230kV: Upgrade to SPDC B1272 ACSR</t>
        </is>
      </c>
      <c r="E37" t="inlineStr">
        <is>
          <t>Williams</t>
        </is>
      </c>
      <c r="F37" t="n">
        <v>33.0176985</v>
      </c>
      <c r="G37" t="n">
        <v>-79.9321678</v>
      </c>
      <c r="H37" t="inlineStr">
        <is>
          <t>Summerville</t>
        </is>
      </c>
      <c r="I37" t="n">
        <v>33.0186699</v>
      </c>
      <c r="J37" t="n">
        <v>-80.17627040000001</v>
      </c>
      <c r="K37">
        <f>IF(ISBLANK(I37), F37, IF(ISBLANK(F37), I37, (F37+I37)/2))</f>
        <v/>
      </c>
      <c r="L37">
        <f>IF(ISBLANK(J37), G37, IF(ISBLANK(G37), J37, (G37+J37)/2))</f>
        <v/>
      </c>
      <c r="M37" t="inlineStr">
        <is>
          <t>2027-05-01</t>
        </is>
      </c>
      <c r="N37" t="n">
        <v>0</v>
      </c>
      <c r="R37" t="inlineStr">
        <is>
          <t>low_confidence</t>
        </is>
      </c>
      <c r="S37" t="inlineStr">
        <is>
          <t>confirmed</t>
        </is>
      </c>
      <c r="T37" t="inlineStr">
        <is>
          <t>low_confidence</t>
        </is>
      </c>
      <c r="U37" t="inlineStr">
        <is>
          <t>6388 A</t>
        </is>
      </c>
      <c r="W37" t="n">
        <v>19300000</v>
      </c>
      <c r="X37" t="inlineStr"/>
    </row>
    <row r="38">
      <c r="A38" t="inlineStr">
        <is>
          <t>DESC_37</t>
        </is>
      </c>
      <c r="B38" t="inlineStr">
        <is>
          <t>Dominion Energy South Carolina</t>
        </is>
      </c>
      <c r="C38" t="inlineStr">
        <is>
          <t>SC</t>
        </is>
      </c>
      <c r="D38" t="inlineStr">
        <is>
          <t>Cainhoy 115 kV Tap: Construct</t>
        </is>
      </c>
      <c r="E38" t="inlineStr">
        <is>
          <t>Cainhoy</t>
        </is>
      </c>
      <c r="F38" t="n">
        <v>32.941402</v>
      </c>
      <c r="G38" t="n">
        <v>-79.8422757</v>
      </c>
      <c r="K38">
        <f>IF(ISBLANK(I38), F38, IF(ISBLANK(F38), I38, (F38+I38)/2))</f>
        <v/>
      </c>
      <c r="L38">
        <f>IF(ISBLANK(J38), G38, IF(ISBLANK(G38), J38, (G38+J38)/2))</f>
        <v/>
      </c>
      <c r="M38" t="inlineStr">
        <is>
          <t>2027-12-31</t>
        </is>
      </c>
      <c r="N38" t="n">
        <v>0</v>
      </c>
      <c r="R38" t="inlineStr">
        <is>
          <t>confirmed</t>
        </is>
      </c>
      <c r="S38" t="inlineStr">
        <is>
          <t>confirmed</t>
        </is>
      </c>
      <c r="U38" t="inlineStr">
        <is>
          <t>0147 C, K</t>
        </is>
      </c>
      <c r="W38" t="n">
        <v>21850000</v>
      </c>
      <c r="X38" t="inlineStr"/>
    </row>
    <row r="39">
      <c r="A39" t="inlineStr">
        <is>
          <t>DESC_38</t>
        </is>
      </c>
      <c r="B39" t="inlineStr">
        <is>
          <t>Dominion Energy South Carolina</t>
        </is>
      </c>
      <c r="C39" t="inlineStr">
        <is>
          <t>SC</t>
        </is>
      </c>
      <c r="D39" t="inlineStr">
        <is>
          <t>Jack Primus 115 kV Tap: Construct</t>
        </is>
      </c>
      <c r="E39" t="inlineStr">
        <is>
          <t>Jack Primus</t>
        </is>
      </c>
      <c r="F39" t="n">
        <v>32.9193841</v>
      </c>
      <c r="G39" t="n">
        <v>-79.9044954</v>
      </c>
      <c r="K39">
        <f>IF(ISBLANK(I39), F39, IF(ISBLANK(F39), I39, (F39+I39)/2))</f>
        <v/>
      </c>
      <c r="L39">
        <f>IF(ISBLANK(J39), G39, IF(ISBLANK(G39), J39, (G39+J39)/2))</f>
        <v/>
      </c>
      <c r="M39" t="inlineStr">
        <is>
          <t>2027-12-31</t>
        </is>
      </c>
      <c r="N39" t="n">
        <v>0</v>
      </c>
      <c r="R39" t="inlineStr">
        <is>
          <t>confirmed</t>
        </is>
      </c>
      <c r="S39" t="inlineStr">
        <is>
          <t>confirmed</t>
        </is>
      </c>
      <c r="U39" t="inlineStr">
        <is>
          <t>0147 B, J</t>
        </is>
      </c>
      <c r="W39" t="n">
        <v>18000000</v>
      </c>
      <c r="X39" t="inlineStr"/>
    </row>
    <row r="40">
      <c r="A40" t="inlineStr">
        <is>
          <t>DESC_39</t>
        </is>
      </c>
      <c r="B40" t="inlineStr">
        <is>
          <t>Dominion Energy South Carolina</t>
        </is>
      </c>
      <c r="C40" t="inlineStr">
        <is>
          <t>SC</t>
        </is>
      </c>
      <c r="D40" t="inlineStr">
        <is>
          <t>Church Creek – Faber Place – Charleston Transmission: Add 230kV Line</t>
        </is>
      </c>
      <c r="E40" t="inlineStr">
        <is>
          <t>Church Creek</t>
        </is>
      </c>
      <c r="F40" t="n">
        <v>32.8303196</v>
      </c>
      <c r="G40" t="n">
        <v>-80.0702792</v>
      </c>
      <c r="H40" t="inlineStr">
        <is>
          <t>Faber Place</t>
        </is>
      </c>
      <c r="I40" t="n">
        <v>32.8500798</v>
      </c>
      <c r="J40" t="n">
        <v>-80.01462410000001</v>
      </c>
      <c r="K40">
        <f>IF(ISBLANK(I40), F40, IF(ISBLANK(F40), I40, (F40+I40)/2))</f>
        <v/>
      </c>
      <c r="L40">
        <f>IF(ISBLANK(J40), G40, IF(ISBLANK(G40), J40, (G40+J40)/2))</f>
        <v/>
      </c>
      <c r="M40" t="inlineStr">
        <is>
          <t>2027-05-01</t>
        </is>
      </c>
      <c r="N40" t="n">
        <v>0</v>
      </c>
      <c r="R40" t="inlineStr">
        <is>
          <t>low_confidence</t>
        </is>
      </c>
      <c r="S40" t="inlineStr">
        <is>
          <t>confirmed</t>
        </is>
      </c>
      <c r="T40" t="inlineStr">
        <is>
          <t>confirmed</t>
        </is>
      </c>
      <c r="U40" t="inlineStr">
        <is>
          <t>6847 A-B, D-H</t>
        </is>
      </c>
      <c r="W40" t="n">
        <v>34174682</v>
      </c>
      <c r="X40" t="inlineStr"/>
    </row>
    <row r="41">
      <c r="A41" t="inlineStr">
        <is>
          <t>DESC_40</t>
        </is>
      </c>
      <c r="B41" t="inlineStr">
        <is>
          <t>Dominion Energy South Carolina</t>
        </is>
      </c>
      <c r="C41" t="inlineStr">
        <is>
          <t>SC</t>
        </is>
      </c>
      <c r="D41" t="inlineStr">
        <is>
          <t>Eastover – Sumter 115kV DEP Tie: Rebuild with 1272 ACSR</t>
        </is>
      </c>
      <c r="E41" t="inlineStr">
        <is>
          <t>Eastover</t>
        </is>
      </c>
      <c r="F41" t="n">
        <v>33.8771147</v>
      </c>
      <c r="G41" t="n">
        <v>-80.6922594</v>
      </c>
      <c r="H41" t="inlineStr">
        <is>
          <t>Sumter</t>
        </is>
      </c>
      <c r="I41" t="n">
        <v>33.8976611</v>
      </c>
      <c r="J41" t="n">
        <v>-80.3239761</v>
      </c>
      <c r="K41">
        <f>IF(ISBLANK(I41), F41, IF(ISBLANK(F41), I41, (F41+I41)/2))</f>
        <v/>
      </c>
      <c r="L41">
        <f>IF(ISBLANK(J41), G41, IF(ISBLANK(G41), J41, (G41+J41)/2))</f>
        <v/>
      </c>
      <c r="M41" t="inlineStr">
        <is>
          <t>2026-05-31</t>
        </is>
      </c>
      <c r="N41" t="n">
        <v>0</v>
      </c>
      <c r="R41" t="inlineStr">
        <is>
          <t>low_confidence</t>
        </is>
      </c>
      <c r="S41" t="inlineStr">
        <is>
          <t>low_confidence</t>
        </is>
      </c>
      <c r="T41" t="inlineStr">
        <is>
          <t>confirmed</t>
        </is>
      </c>
      <c r="U41" t="inlineStr">
        <is>
          <t>6846 A</t>
        </is>
      </c>
      <c r="W41" t="n">
        <v>1100000</v>
      </c>
      <c r="X41" t="inlineStr"/>
    </row>
    <row r="42">
      <c r="A42" t="inlineStr">
        <is>
          <t>DESC_41</t>
        </is>
      </c>
      <c r="B42" t="inlineStr">
        <is>
          <t>Dominion Energy South Carolina</t>
        </is>
      </c>
      <c r="C42" t="inlineStr">
        <is>
          <t>SC</t>
        </is>
      </c>
      <c r="D42" t="inlineStr">
        <is>
          <t>Cameron Jct – Elloree 46 kV Rebuild</t>
        </is>
      </c>
      <c r="E42" t="inlineStr">
        <is>
          <t>Cameron Jct</t>
        </is>
      </c>
      <c r="F42" t="n">
        <v>33.5636663</v>
      </c>
      <c r="G42" t="n">
        <v>-80.70899590000001</v>
      </c>
      <c r="H42" t="inlineStr">
        <is>
          <t>Elloree</t>
        </is>
      </c>
      <c r="I42" t="n">
        <v>33.5323844</v>
      </c>
      <c r="J42" t="n">
        <v>-80.5797245</v>
      </c>
      <c r="K42">
        <f>IF(ISBLANK(I42), F42, IF(ISBLANK(F42), I42, (F42+I42)/2))</f>
        <v/>
      </c>
      <c r="L42">
        <f>IF(ISBLANK(J42), G42, IF(ISBLANK(G42), J42, (G42+J42)/2))</f>
        <v/>
      </c>
      <c r="M42" t="inlineStr">
        <is>
          <t>2026-12-31</t>
        </is>
      </c>
      <c r="N42" t="n">
        <v>0</v>
      </c>
      <c r="R42" t="inlineStr">
        <is>
          <t>confirmed</t>
        </is>
      </c>
      <c r="S42" t="inlineStr">
        <is>
          <t>confirmed</t>
        </is>
      </c>
      <c r="T42" t="inlineStr">
        <is>
          <t>confirmed</t>
        </is>
      </c>
      <c r="U42" t="inlineStr">
        <is>
          <t>6810 U</t>
        </is>
      </c>
      <c r="W42" t="n">
        <v>4500000</v>
      </c>
      <c r="X42" t="inlineStr"/>
    </row>
    <row r="43">
      <c r="A43" t="inlineStr">
        <is>
          <t>DESC_42</t>
        </is>
      </c>
      <c r="B43" t="inlineStr">
        <is>
          <t>Dominion Energy South Carolina</t>
        </is>
      </c>
      <c r="C43" t="inlineStr">
        <is>
          <t>SC</t>
        </is>
      </c>
      <c r="D43" t="inlineStr">
        <is>
          <t>Elloree – Santee City 46 kV: Rebuild</t>
        </is>
      </c>
      <c r="E43" t="inlineStr">
        <is>
          <t>Elloree</t>
        </is>
      </c>
      <c r="F43" t="n">
        <v>33.5323844</v>
      </c>
      <c r="G43" t="n">
        <v>-80.5797245</v>
      </c>
      <c r="H43" t="inlineStr">
        <is>
          <t>Santee City</t>
        </is>
      </c>
      <c r="K43">
        <f>IF(ISBLANK(I43), F43, IF(ISBLANK(F43), I43, (F43+I43)/2))</f>
        <v/>
      </c>
      <c r="L43">
        <f>IF(ISBLANK(J43), G43, IF(ISBLANK(G43), J43, (G43+J43)/2))</f>
        <v/>
      </c>
      <c r="M43" t="inlineStr">
        <is>
          <t>2027-12-31</t>
        </is>
      </c>
      <c r="N43" t="n">
        <v>0</v>
      </c>
      <c r="R43" t="inlineStr">
        <is>
          <t>confirmed</t>
        </is>
      </c>
      <c r="S43" t="inlineStr">
        <is>
          <t>confirmed</t>
        </is>
      </c>
      <c r="T43" t="inlineStr">
        <is>
          <t>unlocated</t>
        </is>
      </c>
      <c r="U43" t="inlineStr">
        <is>
          <t>6810 J</t>
        </is>
      </c>
      <c r="W43" t="n">
        <v>4500000</v>
      </c>
      <c r="X43" t="inlineStr">
        <is>
          <t>1 of 2 endpoints located; center uses the located one(s) only</t>
        </is>
      </c>
    </row>
    <row r="44">
      <c r="A44" t="inlineStr">
        <is>
          <t>DESC_43</t>
        </is>
      </c>
      <c r="B44" t="inlineStr">
        <is>
          <t>Dominion Energy South Carolina</t>
        </is>
      </c>
      <c r="C44" t="inlineStr">
        <is>
          <t>SC</t>
        </is>
      </c>
      <c r="D44" t="inlineStr">
        <is>
          <t>Urquhart – Aiken PSA 46 kV: Rebuild</t>
        </is>
      </c>
      <c r="E44" t="inlineStr">
        <is>
          <t>Urquhart</t>
        </is>
      </c>
      <c r="F44" t="n">
        <v>33.4328703</v>
      </c>
      <c r="G44" t="n">
        <v>-81.9110807</v>
      </c>
      <c r="H44" t="inlineStr">
        <is>
          <t>Aiken PSA</t>
        </is>
      </c>
      <c r="K44">
        <f>IF(ISBLANK(I44), F44, IF(ISBLANK(F44), I44, (F44+I44)/2))</f>
        <v/>
      </c>
      <c r="L44">
        <f>IF(ISBLANK(J44), G44, IF(ISBLANK(G44), J44, (G44+J44)/2))</f>
        <v/>
      </c>
      <c r="M44" t="inlineStr">
        <is>
          <t>2027-12-31</t>
        </is>
      </c>
      <c r="N44" t="n">
        <v>4</v>
      </c>
      <c r="O44" t="inlineStr">
        <is>
          <t>GPC_111</t>
        </is>
      </c>
      <c r="P44" t="inlineStr">
        <is>
          <t>GPC_128</t>
        </is>
      </c>
      <c r="Q44" t="inlineStr">
        <is>
          <t>GPC_129</t>
        </is>
      </c>
      <c r="R44" t="inlineStr">
        <is>
          <t>confirmed</t>
        </is>
      </c>
      <c r="S44" t="inlineStr">
        <is>
          <t>confirmed</t>
        </is>
      </c>
      <c r="T44" t="inlineStr">
        <is>
          <t>unlocated</t>
        </is>
      </c>
      <c r="U44" t="inlineStr">
        <is>
          <t>6810 O</t>
        </is>
      </c>
      <c r="W44" t="n">
        <v>3000000</v>
      </c>
      <c r="X44" t="inlineStr">
        <is>
          <t>1 of 2 endpoints located; center uses the located one(s) only</t>
        </is>
      </c>
    </row>
    <row r="45">
      <c r="A45" t="inlineStr">
        <is>
          <t>DESC_44</t>
        </is>
      </c>
      <c r="B45" t="inlineStr">
        <is>
          <t>Dominion Energy South Carolina</t>
        </is>
      </c>
      <c r="C45" t="inlineStr">
        <is>
          <t>SC</t>
        </is>
      </c>
      <c r="D45" t="inlineStr">
        <is>
          <t>Cameron Jct – Cameron – St Matthews 46 kV Rebuild</t>
        </is>
      </c>
      <c r="E45" t="inlineStr">
        <is>
          <t>Cameron Jct</t>
        </is>
      </c>
      <c r="F45" t="n">
        <v>33.5636663</v>
      </c>
      <c r="G45" t="n">
        <v>-80.70899590000001</v>
      </c>
      <c r="H45" t="inlineStr">
        <is>
          <t>Cameron</t>
        </is>
      </c>
      <c r="I45" t="n">
        <v>33.5636663</v>
      </c>
      <c r="J45" t="n">
        <v>-80.70899590000001</v>
      </c>
      <c r="K45">
        <f>IF(ISBLANK(I45), F45, IF(ISBLANK(F45), I45, (F45+I45)/2))</f>
        <v/>
      </c>
      <c r="L45">
        <f>IF(ISBLANK(J45), G45, IF(ISBLANK(G45), J45, (G45+J45)/2))</f>
        <v/>
      </c>
      <c r="M45" t="inlineStr">
        <is>
          <t>2028-12-31</t>
        </is>
      </c>
      <c r="N45" t="n">
        <v>0</v>
      </c>
      <c r="R45" t="inlineStr">
        <is>
          <t>low_confidence</t>
        </is>
      </c>
      <c r="S45" t="inlineStr">
        <is>
          <t>confirmed</t>
        </is>
      </c>
      <c r="T45" t="inlineStr">
        <is>
          <t>confirmed</t>
        </is>
      </c>
      <c r="U45" t="inlineStr">
        <is>
          <t>6810 T</t>
        </is>
      </c>
      <c r="W45" t="n">
        <v>5900000</v>
      </c>
      <c r="X45" t="inlineStr"/>
    </row>
    <row r="46">
      <c r="A46" t="inlineStr">
        <is>
          <t>GPC_1</t>
        </is>
      </c>
      <c r="B46" t="inlineStr">
        <is>
          <t>Georgia Power</t>
        </is>
      </c>
      <c r="C46" t="inlineStr">
        <is>
          <t>GA</t>
        </is>
      </c>
      <c r="D46" t="inlineStr">
        <is>
          <t>SAV: CC - HYUNDAI MOTORS SAVANNAH AKA. PROJECT EA</t>
        </is>
      </c>
      <c r="E46" t="inlineStr">
        <is>
          <t>HYUNDAI MOTORS SAVANNAH AKA. PROJECT EA</t>
        </is>
      </c>
      <c r="K46">
        <f>IF(ISBLANK(I46), F46, IF(ISBLANK(F46), I46, (F46+I46)/2))</f>
        <v/>
      </c>
      <c r="L46">
        <f>IF(ISBLANK(J46), G46, IF(ISBLANK(G46), J46, (G46+J46)/2))</f>
        <v/>
      </c>
      <c r="M46" t="inlineStr">
        <is>
          <t>2025-01-01</t>
        </is>
      </c>
      <c r="N46" t="n">
        <v>0</v>
      </c>
      <c r="R46" t="inlineStr">
        <is>
          <t>unlocated</t>
        </is>
      </c>
      <c r="S46" t="inlineStr">
        <is>
          <t>unlocated</t>
        </is>
      </c>
      <c r="U46" t="inlineStr">
        <is>
          <t>19523</t>
        </is>
      </c>
      <c r="V46" t="inlineStr">
        <is>
          <t>219</t>
        </is>
      </c>
      <c r="X46" t="inlineStr">
        <is>
          <t>no endpoint located</t>
        </is>
      </c>
    </row>
    <row r="47">
      <c r="A47" t="inlineStr">
        <is>
          <t>GPC_2</t>
        </is>
      </c>
      <c r="B47" t="inlineStr">
        <is>
          <t>Georgia Power</t>
        </is>
      </c>
      <c r="C47" t="inlineStr">
        <is>
          <t>GA</t>
        </is>
      </c>
      <c r="D47" t="inlineStr">
        <is>
          <t>MITCHELL - NORTH TIFTON 230KV RECONDUCTOR</t>
        </is>
      </c>
      <c r="E47" t="inlineStr">
        <is>
          <t>MITCHELL</t>
        </is>
      </c>
      <c r="F47" t="n">
        <v>31.447121</v>
      </c>
      <c r="G47" t="n">
        <v>-84.133843</v>
      </c>
      <c r="H47" t="inlineStr">
        <is>
          <t>NORTH TIFTON</t>
        </is>
      </c>
      <c r="I47" t="n">
        <v>31.478089</v>
      </c>
      <c r="J47" t="n">
        <v>-83.54913000000001</v>
      </c>
      <c r="K47">
        <f>IF(ISBLANK(I47), F47, IF(ISBLANK(F47), I47, (F47+I47)/2))</f>
        <v/>
      </c>
      <c r="L47">
        <f>IF(ISBLANK(J47), G47, IF(ISBLANK(G47), J47, (G47+J47)/2))</f>
        <v/>
      </c>
      <c r="M47" t="inlineStr">
        <is>
          <t>2025-05-01</t>
        </is>
      </c>
      <c r="N47" t="n">
        <v>0</v>
      </c>
      <c r="R47" t="inlineStr">
        <is>
          <t>confirmed</t>
        </is>
      </c>
      <c r="S47" t="inlineStr">
        <is>
          <t>confirmed</t>
        </is>
      </c>
      <c r="T47" t="inlineStr">
        <is>
          <t>confirmed</t>
        </is>
      </c>
      <c r="U47" t="inlineStr">
        <is>
          <t>18492</t>
        </is>
      </c>
      <c r="V47" t="inlineStr">
        <is>
          <t>216</t>
        </is>
      </c>
      <c r="X47" t="inlineStr"/>
    </row>
    <row r="48">
      <c r="A48" t="inlineStr">
        <is>
          <t>GPC_3</t>
        </is>
      </c>
      <c r="B48" t="inlineStr">
        <is>
          <t>Georgia Power</t>
        </is>
      </c>
      <c r="C48" t="inlineStr">
        <is>
          <t>GA</t>
        </is>
      </c>
      <c r="D48" t="inlineStr">
        <is>
          <t>ADAMSVILLE - JACK MCDONOUGH 230KV LINE REBUILD</t>
        </is>
      </c>
      <c r="E48" t="inlineStr">
        <is>
          <t>ADAMSVILLE</t>
        </is>
      </c>
      <c r="F48" t="n">
        <v>33.7592737</v>
      </c>
      <c r="G48" t="n">
        <v>-84.50520899999999</v>
      </c>
      <c r="H48" t="inlineStr">
        <is>
          <t>JACK MCDONOUGH</t>
        </is>
      </c>
      <c r="K48">
        <f>IF(ISBLANK(I48), F48, IF(ISBLANK(F48), I48, (F48+I48)/2))</f>
        <v/>
      </c>
      <c r="L48">
        <f>IF(ISBLANK(J48), G48, IF(ISBLANK(G48), J48, (G48+J48)/2))</f>
        <v/>
      </c>
      <c r="M48" t="inlineStr">
        <is>
          <t>2025-06-01</t>
        </is>
      </c>
      <c r="N48" t="n">
        <v>0</v>
      </c>
      <c r="R48" t="inlineStr">
        <is>
          <t>low_confidence</t>
        </is>
      </c>
      <c r="S48" t="inlineStr">
        <is>
          <t>low_confidence</t>
        </is>
      </c>
      <c r="T48" t="inlineStr">
        <is>
          <t>unlocated</t>
        </is>
      </c>
      <c r="U48" t="inlineStr">
        <is>
          <t>19676</t>
        </is>
      </c>
      <c r="V48" t="inlineStr">
        <is>
          <t>206</t>
        </is>
      </c>
      <c r="X48" t="inlineStr">
        <is>
          <t>1 of 2 endpoints located; center uses the located one(s) only</t>
        </is>
      </c>
    </row>
    <row r="49">
      <c r="A49" t="inlineStr">
        <is>
          <t>GPC_4</t>
        </is>
      </c>
      <c r="B49" t="inlineStr">
        <is>
          <t>Georgia Power</t>
        </is>
      </c>
      <c r="C49" t="inlineStr">
        <is>
          <t>GA</t>
        </is>
      </c>
      <c r="D49" t="inlineStr">
        <is>
          <t>ECHECONNEE-WELLSTON 115KV REBUILD</t>
        </is>
      </c>
      <c r="E49" t="inlineStr">
        <is>
          <t>ECHECONNEE</t>
        </is>
      </c>
      <c r="F49" t="n">
        <v>32.6851436</v>
      </c>
      <c r="G49" t="n">
        <v>-83.700462</v>
      </c>
      <c r="H49" t="inlineStr">
        <is>
          <t>WELLSTON</t>
        </is>
      </c>
      <c r="K49">
        <f>IF(ISBLANK(I49), F49, IF(ISBLANK(F49), I49, (F49+I49)/2))</f>
        <v/>
      </c>
      <c r="L49">
        <f>IF(ISBLANK(J49), G49, IF(ISBLANK(G49), J49, (G49+J49)/2))</f>
        <v/>
      </c>
      <c r="M49" t="inlineStr">
        <is>
          <t>2025-06-01</t>
        </is>
      </c>
      <c r="N49" t="n">
        <v>0</v>
      </c>
      <c r="R49" t="inlineStr">
        <is>
          <t>low_confidence</t>
        </is>
      </c>
      <c r="S49" t="inlineStr">
        <is>
          <t>low_confidence</t>
        </is>
      </c>
      <c r="T49" t="inlineStr">
        <is>
          <t>unlocated</t>
        </is>
      </c>
      <c r="U49" t="inlineStr">
        <is>
          <t>18800</t>
        </is>
      </c>
      <c r="V49" t="inlineStr">
        <is>
          <t>214</t>
        </is>
      </c>
      <c r="X49" t="inlineStr">
        <is>
          <t>1 of 2 endpoints located; center uses the located one(s) only</t>
        </is>
      </c>
    </row>
    <row r="50">
      <c r="A50" t="inlineStr">
        <is>
          <t>GPC_5</t>
        </is>
      </c>
      <c r="B50" t="inlineStr">
        <is>
          <t>Georgia Power</t>
        </is>
      </c>
      <c r="C50" t="inlineStr">
        <is>
          <t>GA</t>
        </is>
      </c>
      <c r="D50" t="inlineStr">
        <is>
          <t>GRID - BREMEN - CROOKED CREEK (APC) 115 KV PROJECT</t>
        </is>
      </c>
      <c r="E50" t="inlineStr">
        <is>
          <t>BREMEN</t>
        </is>
      </c>
      <c r="F50" t="n">
        <v>33.7091924</v>
      </c>
      <c r="G50" t="n">
        <v>-85.1427159</v>
      </c>
      <c r="H50" t="inlineStr">
        <is>
          <t>CROOKED CREEK (APC)</t>
        </is>
      </c>
      <c r="K50">
        <f>IF(ISBLANK(I50), F50, IF(ISBLANK(F50), I50, (F50+I50)/2))</f>
        <v/>
      </c>
      <c r="L50">
        <f>IF(ISBLANK(J50), G50, IF(ISBLANK(G50), J50, (G50+J50)/2))</f>
        <v/>
      </c>
      <c r="M50" t="inlineStr">
        <is>
          <t>2025-06-01</t>
        </is>
      </c>
      <c r="N50" t="n">
        <v>0</v>
      </c>
      <c r="R50" t="inlineStr">
        <is>
          <t>confirmed</t>
        </is>
      </c>
      <c r="S50" t="inlineStr">
        <is>
          <t>confirmed</t>
        </is>
      </c>
      <c r="T50" t="inlineStr">
        <is>
          <t>rejected</t>
        </is>
      </c>
      <c r="U50" t="inlineStr">
        <is>
          <t>19187</t>
        </is>
      </c>
      <c r="V50" t="inlineStr">
        <is>
          <t>211</t>
        </is>
      </c>
      <c r="X50" t="inlineStr">
        <is>
          <t>1 of 2 endpoints located; center uses the located one(s) only</t>
        </is>
      </c>
    </row>
    <row r="51">
      <c r="A51" t="inlineStr">
        <is>
          <t>GPC_6</t>
        </is>
      </c>
      <c r="B51" t="inlineStr">
        <is>
          <t>Georgia Power</t>
        </is>
      </c>
      <c r="C51" t="inlineStr">
        <is>
          <t>GA</t>
        </is>
      </c>
      <c r="D51" t="inlineStr">
        <is>
          <t>JESUP - LUDOWICI PRIMARY 115KV REBUILD</t>
        </is>
      </c>
      <c r="E51" t="inlineStr">
        <is>
          <t>JESUP</t>
        </is>
      </c>
      <c r="F51" t="n">
        <v>31.603106</v>
      </c>
      <c r="G51" t="n">
        <v>-81.924947</v>
      </c>
      <c r="H51" t="inlineStr">
        <is>
          <t>LUDOWICI PRIMARY</t>
        </is>
      </c>
      <c r="I51" t="n">
        <v>31.721597</v>
      </c>
      <c r="J51" t="n">
        <v>-81.743703</v>
      </c>
      <c r="K51">
        <f>IF(ISBLANK(I51), F51, IF(ISBLANK(F51), I51, (F51+I51)/2))</f>
        <v/>
      </c>
      <c r="L51">
        <f>IF(ISBLANK(J51), G51, IF(ISBLANK(G51), J51, (G51+J51)/2))</f>
        <v/>
      </c>
      <c r="M51" t="inlineStr">
        <is>
          <t>2025-06-01</t>
        </is>
      </c>
      <c r="N51" t="n">
        <v>0</v>
      </c>
      <c r="R51" t="inlineStr">
        <is>
          <t>confirmed</t>
        </is>
      </c>
      <c r="S51" t="inlineStr">
        <is>
          <t>confirmed</t>
        </is>
      </c>
      <c r="T51" t="inlineStr">
        <is>
          <t>confirmed</t>
        </is>
      </c>
      <c r="U51" t="inlineStr">
        <is>
          <t>11821</t>
        </is>
      </c>
      <c r="V51" t="inlineStr">
        <is>
          <t>218</t>
        </is>
      </c>
      <c r="X51" t="inlineStr"/>
    </row>
    <row r="52">
      <c r="A52" t="inlineStr">
        <is>
          <t>GPC_7</t>
        </is>
      </c>
      <c r="B52" t="inlineStr">
        <is>
          <t>Georgia Power</t>
        </is>
      </c>
      <c r="C52" t="inlineStr">
        <is>
          <t>GA</t>
        </is>
      </c>
      <c r="D52" t="inlineStr">
        <is>
          <t>NORCROSS 230KV BUS 1-3 SERIES BUS TIE BREAKER INSTALLATION</t>
        </is>
      </c>
      <c r="E52" t="inlineStr">
        <is>
          <t>NORCROSS</t>
        </is>
      </c>
      <c r="F52" t="n">
        <v>33.9325571</v>
      </c>
      <c r="G52" t="n">
        <v>-84.2134303</v>
      </c>
      <c r="K52">
        <f>IF(ISBLANK(I52), F52, IF(ISBLANK(F52), I52, (F52+I52)/2))</f>
        <v/>
      </c>
      <c r="L52">
        <f>IF(ISBLANK(J52), G52, IF(ISBLANK(G52), J52, (G52+J52)/2))</f>
        <v/>
      </c>
      <c r="M52" t="inlineStr">
        <is>
          <t>2025-06-01</t>
        </is>
      </c>
      <c r="N52" t="n">
        <v>0</v>
      </c>
      <c r="R52" t="inlineStr">
        <is>
          <t>confirmed</t>
        </is>
      </c>
      <c r="S52" t="inlineStr">
        <is>
          <t>confirmed</t>
        </is>
      </c>
      <c r="U52" t="inlineStr">
        <is>
          <t>20464</t>
        </is>
      </c>
      <c r="V52" t="inlineStr">
        <is>
          <t>202</t>
        </is>
      </c>
      <c r="X52" t="inlineStr"/>
    </row>
    <row r="53">
      <c r="A53" t="inlineStr">
        <is>
          <t>GPC_8</t>
        </is>
      </c>
      <c r="B53" t="inlineStr">
        <is>
          <t>Georgia Power</t>
        </is>
      </c>
      <c r="C53" t="inlineStr">
        <is>
          <t>GA</t>
        </is>
      </c>
      <c r="D53" t="inlineStr">
        <is>
          <t>PINE GROVE PRIMARY 115 KV DUAL STAGE CAPACITOR BANK</t>
        </is>
      </c>
      <c r="E53" t="inlineStr">
        <is>
          <t>PINE GROVE PRIMARY</t>
        </is>
      </c>
      <c r="F53" t="n">
        <v>30.8816485</v>
      </c>
      <c r="G53" t="n">
        <v>-83.2279869</v>
      </c>
      <c r="K53">
        <f>IF(ISBLANK(I53), F53, IF(ISBLANK(F53), I53, (F53+I53)/2))</f>
        <v/>
      </c>
      <c r="L53">
        <f>IF(ISBLANK(J53), G53, IF(ISBLANK(G53), J53, (G53+J53)/2))</f>
        <v/>
      </c>
      <c r="M53" t="inlineStr">
        <is>
          <t>2025-06-01</t>
        </is>
      </c>
      <c r="N53" t="n">
        <v>0</v>
      </c>
      <c r="R53" t="inlineStr">
        <is>
          <t>confirmed</t>
        </is>
      </c>
      <c r="S53" t="inlineStr">
        <is>
          <t>confirmed</t>
        </is>
      </c>
      <c r="U53" t="inlineStr">
        <is>
          <t>19631</t>
        </is>
      </c>
      <c r="V53" t="inlineStr">
        <is>
          <t>216</t>
        </is>
      </c>
      <c r="X53" t="inlineStr"/>
    </row>
    <row r="54">
      <c r="A54" t="inlineStr">
        <is>
          <t>GPC_9</t>
        </is>
      </c>
      <c r="B54" t="inlineStr">
        <is>
          <t>Georgia Power</t>
        </is>
      </c>
      <c r="C54" t="inlineStr">
        <is>
          <t>GA</t>
        </is>
      </c>
      <c r="D54" t="inlineStr">
        <is>
          <t>SAV: DEPTFORD - MAGNOLIA 115KV RECONDUCTOR</t>
        </is>
      </c>
      <c r="E54" t="inlineStr">
        <is>
          <t>DEPTFORD</t>
        </is>
      </c>
      <c r="F54" t="n">
        <v>32.0668279</v>
      </c>
      <c r="G54" t="n">
        <v>-81.0483845</v>
      </c>
      <c r="H54" t="inlineStr">
        <is>
          <t>MAGNOLIA</t>
        </is>
      </c>
      <c r="I54" t="n">
        <v>32.0226869</v>
      </c>
      <c r="J54" t="n">
        <v>-81.0861807</v>
      </c>
      <c r="K54">
        <f>IF(ISBLANK(I54), F54, IF(ISBLANK(F54), I54, (F54+I54)/2))</f>
        <v/>
      </c>
      <c r="L54">
        <f>IF(ISBLANK(J54), G54, IF(ISBLANK(G54), J54, (G54+J54)/2))</f>
        <v/>
      </c>
      <c r="M54" t="inlineStr">
        <is>
          <t>2025-06-01</t>
        </is>
      </c>
      <c r="N54" t="n">
        <v>2</v>
      </c>
      <c r="O54" t="inlineStr">
        <is>
          <t>DESC_10</t>
        </is>
      </c>
      <c r="P54" t="inlineStr">
        <is>
          <t>DESC_23</t>
        </is>
      </c>
      <c r="R54" t="inlineStr">
        <is>
          <t>confirmed</t>
        </is>
      </c>
      <c r="S54" t="inlineStr">
        <is>
          <t>confirmed</t>
        </is>
      </c>
      <c r="T54" t="inlineStr">
        <is>
          <t>confirmed</t>
        </is>
      </c>
      <c r="U54" t="inlineStr">
        <is>
          <t>20067</t>
        </is>
      </c>
      <c r="V54" t="inlineStr">
        <is>
          <t>219</t>
        </is>
      </c>
      <c r="X54" t="inlineStr"/>
    </row>
    <row r="55">
      <c r="A55" t="inlineStr">
        <is>
          <t>GPC_10</t>
        </is>
      </c>
      <c r="B55" t="inlineStr">
        <is>
          <t>Georgia Power</t>
        </is>
      </c>
      <c r="C55" t="inlineStr">
        <is>
          <t>GA</t>
        </is>
      </c>
      <c r="D55" t="inlineStr">
        <is>
          <t>SMART VALVE INSTALLATION</t>
        </is>
      </c>
      <c r="K55">
        <f>IF(ISBLANK(I55), F55, IF(ISBLANK(F55), I55, (F55+I55)/2))</f>
        <v/>
      </c>
      <c r="L55">
        <f>IF(ISBLANK(J55), G55, IF(ISBLANK(G55), J55, (G55+J55)/2))</f>
        <v/>
      </c>
      <c r="M55" t="inlineStr">
        <is>
          <t>2025-06-01</t>
        </is>
      </c>
      <c r="N55" t="n">
        <v>0</v>
      </c>
      <c r="R55" t="inlineStr">
        <is>
          <t>unlocated</t>
        </is>
      </c>
      <c r="U55" t="inlineStr">
        <is>
          <t>20466</t>
        </is>
      </c>
      <c r="V55" t="inlineStr">
        <is>
          <t>214</t>
        </is>
      </c>
      <c r="X55" t="inlineStr">
        <is>
          <t>no endpoint located</t>
        </is>
      </c>
    </row>
    <row r="56">
      <c r="A56" t="inlineStr">
        <is>
          <t>GPC_11</t>
        </is>
      </c>
      <c r="B56" t="inlineStr">
        <is>
          <t>Georgia Power</t>
        </is>
      </c>
      <c r="C56" t="inlineStr">
        <is>
          <t>GA</t>
        </is>
      </c>
      <c r="D56" t="inlineStr">
        <is>
          <t>THALMANN AND COLERAIN 23O KV LINE RELAY PANEL UPGRADES</t>
        </is>
      </c>
      <c r="E56" t="inlineStr">
        <is>
          <t>THALMANN AND COLERAIN 23O KV LINE RELAY PANEL UPGRADES</t>
        </is>
      </c>
      <c r="K56">
        <f>IF(ISBLANK(I56), F56, IF(ISBLANK(F56), I56, (F56+I56)/2))</f>
        <v/>
      </c>
      <c r="L56">
        <f>IF(ISBLANK(J56), G56, IF(ISBLANK(G56), J56, (G56+J56)/2))</f>
        <v/>
      </c>
      <c r="M56" t="inlineStr">
        <is>
          <t>2025-06-01</t>
        </is>
      </c>
      <c r="N56" t="n">
        <v>0</v>
      </c>
      <c r="R56" t="inlineStr">
        <is>
          <t>unlocated</t>
        </is>
      </c>
      <c r="S56" t="inlineStr">
        <is>
          <t>unlocated</t>
        </is>
      </c>
      <c r="U56" t="inlineStr">
        <is>
          <t>21046</t>
        </is>
      </c>
      <c r="V56" t="inlineStr">
        <is>
          <t>218</t>
        </is>
      </c>
      <c r="X56" t="inlineStr">
        <is>
          <t>no endpoint located</t>
        </is>
      </c>
    </row>
    <row r="57">
      <c r="A57" t="inlineStr">
        <is>
          <t>GPC_12</t>
        </is>
      </c>
      <c r="B57" t="inlineStr">
        <is>
          <t>Georgia Power</t>
        </is>
      </c>
      <c r="C57" t="inlineStr">
        <is>
          <t>GA</t>
        </is>
      </c>
      <c r="D57" t="inlineStr">
        <is>
          <t>VILLA RICA LOW SIDE BREAKER</t>
        </is>
      </c>
      <c r="E57" t="inlineStr">
        <is>
          <t>VILLA RICA LOW SIDE BREAKER</t>
        </is>
      </c>
      <c r="F57" t="n">
        <v>33.7410224</v>
      </c>
      <c r="G57" t="n">
        <v>-84.85486520000001</v>
      </c>
      <c r="K57">
        <f>IF(ISBLANK(I57), F57, IF(ISBLANK(F57), I57, (F57+I57)/2))</f>
        <v/>
      </c>
      <c r="L57">
        <f>IF(ISBLANK(J57), G57, IF(ISBLANK(G57), J57, (G57+J57)/2))</f>
        <v/>
      </c>
      <c r="M57" t="inlineStr">
        <is>
          <t>2025-06-01</t>
        </is>
      </c>
      <c r="N57" t="n">
        <v>0</v>
      </c>
      <c r="R57" t="inlineStr">
        <is>
          <t>confirmed</t>
        </is>
      </c>
      <c r="S57" t="inlineStr">
        <is>
          <t>confirmed</t>
        </is>
      </c>
      <c r="U57" t="inlineStr">
        <is>
          <t>20431</t>
        </is>
      </c>
      <c r="V57" t="inlineStr">
        <is>
          <t>211</t>
        </is>
      </c>
      <c r="X57" t="inlineStr"/>
    </row>
    <row r="58">
      <c r="A58" t="inlineStr">
        <is>
          <t>GPC_13</t>
        </is>
      </c>
      <c r="B58" t="inlineStr">
        <is>
          <t>Georgia Power</t>
        </is>
      </c>
      <c r="C58" t="inlineStr">
        <is>
          <t>GA</t>
        </is>
      </c>
      <c r="D58" t="inlineStr">
        <is>
          <t>CAMDEN INDUSTRIAL PARK (GPC)</t>
        </is>
      </c>
      <c r="E58" t="inlineStr">
        <is>
          <t>CAMDEN INDUSTRIAL PARK (GPC)</t>
        </is>
      </c>
      <c r="K58">
        <f>IF(ISBLANK(I58), F58, IF(ISBLANK(F58), I58, (F58+I58)/2))</f>
        <v/>
      </c>
      <c r="L58">
        <f>IF(ISBLANK(J58), G58, IF(ISBLANK(G58), J58, (G58+J58)/2))</f>
        <v/>
      </c>
      <c r="M58" t="inlineStr">
        <is>
          <t>2025-06-01</t>
        </is>
      </c>
      <c r="N58" t="n">
        <v>0</v>
      </c>
      <c r="R58" t="inlineStr">
        <is>
          <t>unlocated</t>
        </is>
      </c>
      <c r="S58" t="inlineStr">
        <is>
          <t>unlocated</t>
        </is>
      </c>
      <c r="U58" t="inlineStr">
        <is>
          <t>20684</t>
        </is>
      </c>
      <c r="V58" t="inlineStr">
        <is>
          <t>218</t>
        </is>
      </c>
      <c r="X58" t="inlineStr">
        <is>
          <t>no endpoint located</t>
        </is>
      </c>
    </row>
    <row r="59">
      <c r="A59" t="inlineStr">
        <is>
          <t>GPC_14</t>
        </is>
      </c>
      <c r="B59" t="inlineStr">
        <is>
          <t>Georgia Power</t>
        </is>
      </c>
      <c r="C59" t="inlineStr">
        <is>
          <t>GA</t>
        </is>
      </c>
      <c r="D59" t="inlineStr">
        <is>
          <t>JEFFERSON STREET#3 - NORTHWEST (WHITE) 115 KV RECONDUCTOR</t>
        </is>
      </c>
      <c r="E59" t="inlineStr">
        <is>
          <t>JEFFERSON STREET#3</t>
        </is>
      </c>
      <c r="H59" t="inlineStr">
        <is>
          <t>NORTHWEST (WHITE)</t>
        </is>
      </c>
      <c r="K59">
        <f>IF(ISBLANK(I59), F59, IF(ISBLANK(F59), I59, (F59+I59)/2))</f>
        <v/>
      </c>
      <c r="L59">
        <f>IF(ISBLANK(J59), G59, IF(ISBLANK(G59), J59, (G59+J59)/2))</f>
        <v/>
      </c>
      <c r="M59" t="inlineStr">
        <is>
          <t>2025-12-01</t>
        </is>
      </c>
      <c r="N59" t="n">
        <v>0</v>
      </c>
      <c r="R59" t="inlineStr">
        <is>
          <t>unlocated</t>
        </is>
      </c>
      <c r="S59" t="inlineStr">
        <is>
          <t>unlocated</t>
        </is>
      </c>
      <c r="T59" t="inlineStr">
        <is>
          <t>unlocated</t>
        </is>
      </c>
      <c r="U59" t="inlineStr">
        <is>
          <t>18889</t>
        </is>
      </c>
      <c r="V59" t="inlineStr">
        <is>
          <t>206</t>
        </is>
      </c>
      <c r="X59" t="inlineStr">
        <is>
          <t>no endpoint located</t>
        </is>
      </c>
    </row>
    <row r="60">
      <c r="A60" t="inlineStr">
        <is>
          <t>GPC_15</t>
        </is>
      </c>
      <c r="B60" t="inlineStr">
        <is>
          <t>Georgia Power</t>
        </is>
      </c>
      <c r="C60" t="inlineStr">
        <is>
          <t>GA</t>
        </is>
      </c>
      <c r="D60" t="inlineStr">
        <is>
          <t>ANTHONY SHOALS STATCOM SYSTEM</t>
        </is>
      </c>
      <c r="E60" t="inlineStr">
        <is>
          <t>ANTHONY SHOALS STATCOM SYSTEM</t>
        </is>
      </c>
      <c r="F60" t="n">
        <v>34.0018324</v>
      </c>
      <c r="G60" t="n">
        <v>-82.6362788</v>
      </c>
      <c r="K60">
        <f>IF(ISBLANK(I60), F60, IF(ISBLANK(F60), I60, (F60+I60)/2))</f>
        <v/>
      </c>
      <c r="L60">
        <f>IF(ISBLANK(J60), G60, IF(ISBLANK(G60), J60, (G60+J60)/2))</f>
        <v/>
      </c>
      <c r="M60" t="inlineStr">
        <is>
          <t>2025-12-31</t>
        </is>
      </c>
      <c r="N60" t="n">
        <v>0</v>
      </c>
      <c r="R60" t="inlineStr">
        <is>
          <t>confirmed</t>
        </is>
      </c>
      <c r="S60" t="inlineStr">
        <is>
          <t>confirmed</t>
        </is>
      </c>
      <c r="U60" t="inlineStr">
        <is>
          <t>20326</t>
        </is>
      </c>
      <c r="V60" t="inlineStr">
        <is>
          <t>212</t>
        </is>
      </c>
      <c r="X60" t="inlineStr"/>
    </row>
    <row r="61">
      <c r="A61" t="inlineStr">
        <is>
          <t>GPC_16</t>
        </is>
      </c>
      <c r="B61" t="inlineStr">
        <is>
          <t>Georgia Power</t>
        </is>
      </c>
      <c r="C61" t="inlineStr">
        <is>
          <t>GA</t>
        </is>
      </c>
      <c r="D61" t="inlineStr">
        <is>
          <t>CC - CASS PINE- HILL VIEW 230 KV LINE- CC IMPROVEMENTS</t>
        </is>
      </c>
      <c r="E61" t="inlineStr">
        <is>
          <t>CASS PINE</t>
        </is>
      </c>
      <c r="H61" t="inlineStr">
        <is>
          <t>HILL VIEW</t>
        </is>
      </c>
      <c r="K61">
        <f>IF(ISBLANK(I61), F61, IF(ISBLANK(F61), I61, (F61+I61)/2))</f>
        <v/>
      </c>
      <c r="L61">
        <f>IF(ISBLANK(J61), G61, IF(ISBLANK(G61), J61, (G61+J61)/2))</f>
        <v/>
      </c>
      <c r="M61" t="inlineStr">
        <is>
          <t>2025-12-31</t>
        </is>
      </c>
      <c r="N61" t="n">
        <v>0</v>
      </c>
      <c r="R61" t="inlineStr">
        <is>
          <t>unlocated</t>
        </is>
      </c>
      <c r="S61" t="inlineStr">
        <is>
          <t>unlocated</t>
        </is>
      </c>
      <c r="T61" t="inlineStr">
        <is>
          <t>unlocated</t>
        </is>
      </c>
      <c r="U61" t="inlineStr">
        <is>
          <t>20152</t>
        </is>
      </c>
      <c r="V61" t="inlineStr">
        <is>
          <t>211</t>
        </is>
      </c>
      <c r="X61" t="inlineStr">
        <is>
          <t>no endpoint located</t>
        </is>
      </c>
    </row>
    <row r="62">
      <c r="A62" t="inlineStr">
        <is>
          <t>GPC_17</t>
        </is>
      </c>
      <c r="B62" t="inlineStr">
        <is>
          <t>Georgia Power</t>
        </is>
      </c>
      <c r="C62" t="inlineStr">
        <is>
          <t>GA</t>
        </is>
      </c>
      <c r="D62" t="inlineStr">
        <is>
          <t>CC - PROJECT CHRONOSSK/HYUNDAI</t>
        </is>
      </c>
      <c r="K62">
        <f>IF(ISBLANK(I62), F62, IF(ISBLANK(F62), I62, (F62+I62)/2))</f>
        <v/>
      </c>
      <c r="L62">
        <f>IF(ISBLANK(J62), G62, IF(ISBLANK(G62), J62, (G62+J62)/2))</f>
        <v/>
      </c>
      <c r="M62" t="inlineStr">
        <is>
          <t>2025-12-31</t>
        </is>
      </c>
      <c r="N62" t="n">
        <v>0</v>
      </c>
      <c r="R62" t="inlineStr">
        <is>
          <t>unlocated</t>
        </is>
      </c>
      <c r="U62" t="inlineStr">
        <is>
          <t>20175</t>
        </is>
      </c>
      <c r="V62" t="inlineStr">
        <is>
          <t>211</t>
        </is>
      </c>
      <c r="X62" t="inlineStr">
        <is>
          <t>no endpoint located</t>
        </is>
      </c>
    </row>
    <row r="63">
      <c r="A63" t="inlineStr">
        <is>
          <t>GPC_18</t>
        </is>
      </c>
      <c r="B63" t="inlineStr">
        <is>
          <t>Georgia Power</t>
        </is>
      </c>
      <c r="C63" t="inlineStr">
        <is>
          <t>GA</t>
        </is>
      </c>
      <c r="D63" t="inlineStr">
        <is>
          <t>SAV: LITTLE OGEECHEE 230- 115KV: RELAY MODERNIZATION</t>
        </is>
      </c>
      <c r="E63" t="inlineStr">
        <is>
          <t>LITTLE OGEECHEE</t>
        </is>
      </c>
      <c r="F63" t="n">
        <v>32.0067859</v>
      </c>
      <c r="G63" t="n">
        <v>-81.2531513</v>
      </c>
      <c r="K63">
        <f>IF(ISBLANK(I63), F63, IF(ISBLANK(F63), I63, (F63+I63)/2))</f>
        <v/>
      </c>
      <c r="L63">
        <f>IF(ISBLANK(J63), G63, IF(ISBLANK(G63), J63, (G63+J63)/2))</f>
        <v/>
      </c>
      <c r="M63" t="inlineStr">
        <is>
          <t>2025-12-31</t>
        </is>
      </c>
      <c r="N63" t="n">
        <v>0</v>
      </c>
      <c r="R63" t="inlineStr">
        <is>
          <t>confirmed</t>
        </is>
      </c>
      <c r="S63" t="inlineStr">
        <is>
          <t>confirmed</t>
        </is>
      </c>
      <c r="U63" t="inlineStr">
        <is>
          <t>17075</t>
        </is>
      </c>
      <c r="V63" t="inlineStr">
        <is>
          <t>219</t>
        </is>
      </c>
      <c r="X63" t="inlineStr"/>
    </row>
    <row r="64">
      <c r="A64" t="inlineStr">
        <is>
          <t>GPC_19</t>
        </is>
      </c>
      <c r="B64" t="inlineStr">
        <is>
          <t>Georgia Power</t>
        </is>
      </c>
      <c r="C64" t="inlineStr">
        <is>
          <t>GA</t>
        </is>
      </c>
      <c r="D64" t="inlineStr">
        <is>
          <t>CC - QTS FAYETTEVILLE TRANSMISSION NEEDS</t>
        </is>
      </c>
      <c r="E64" t="inlineStr">
        <is>
          <t>QTS FAYETTEVILLE TRANSMISSION NEEDS</t>
        </is>
      </c>
      <c r="K64">
        <f>IF(ISBLANK(I64), F64, IF(ISBLANK(F64), I64, (F64+I64)/2))</f>
        <v/>
      </c>
      <c r="L64">
        <f>IF(ISBLANK(J64), G64, IF(ISBLANK(G64), J64, (G64+J64)/2))</f>
        <v/>
      </c>
      <c r="M64" t="inlineStr">
        <is>
          <t>2026-04-01</t>
        </is>
      </c>
      <c r="N64" t="n">
        <v>0</v>
      </c>
      <c r="R64" t="inlineStr">
        <is>
          <t>unlocated</t>
        </is>
      </c>
      <c r="S64" t="inlineStr">
        <is>
          <t>unlocated</t>
        </is>
      </c>
      <c r="U64" t="inlineStr">
        <is>
          <t>20018</t>
        </is>
      </c>
      <c r="V64" t="inlineStr">
        <is>
          <t>208</t>
        </is>
      </c>
      <c r="X64" t="inlineStr">
        <is>
          <t>no endpoint located</t>
        </is>
      </c>
    </row>
    <row r="65">
      <c r="A65" t="inlineStr">
        <is>
          <t>GPC_20</t>
        </is>
      </c>
      <c r="B65" t="inlineStr">
        <is>
          <t>Georgia Power</t>
        </is>
      </c>
      <c r="C65" t="inlineStr">
        <is>
          <t>GA</t>
        </is>
      </c>
      <c r="D65" t="inlineStr">
        <is>
          <t>ADAMSVILLE - BUZZARD ROOST 230KV REBUILD AND JUMPER UPGRADE</t>
        </is>
      </c>
      <c r="E65" t="inlineStr">
        <is>
          <t>ADAMSVILLE</t>
        </is>
      </c>
      <c r="F65" t="n">
        <v>33.7592737</v>
      </c>
      <c r="G65" t="n">
        <v>-84.50520899999999</v>
      </c>
      <c r="H65" t="inlineStr">
        <is>
          <t>BUZZARD ROOST</t>
        </is>
      </c>
      <c r="K65">
        <f>IF(ISBLANK(I65), F65, IF(ISBLANK(F65), I65, (F65+I65)/2))</f>
        <v/>
      </c>
      <c r="L65">
        <f>IF(ISBLANK(J65), G65, IF(ISBLANK(G65), J65, (G65+J65)/2))</f>
        <v/>
      </c>
      <c r="M65" t="inlineStr">
        <is>
          <t>2026-06-01</t>
        </is>
      </c>
      <c r="N65" t="n">
        <v>0</v>
      </c>
      <c r="R65" t="inlineStr">
        <is>
          <t>low_confidence</t>
        </is>
      </c>
      <c r="S65" t="inlineStr">
        <is>
          <t>low_confidence</t>
        </is>
      </c>
      <c r="T65" t="inlineStr">
        <is>
          <t>unlocated</t>
        </is>
      </c>
      <c r="U65" t="inlineStr">
        <is>
          <t>19597</t>
        </is>
      </c>
      <c r="V65" t="inlineStr">
        <is>
          <t>208</t>
        </is>
      </c>
      <c r="X65" t="inlineStr">
        <is>
          <t>1 of 2 endpoints located; center uses the located one(s) only</t>
        </is>
      </c>
    </row>
    <row r="66">
      <c r="A66" t="inlineStr">
        <is>
          <t>GPC_21</t>
        </is>
      </c>
      <c r="B66" t="inlineStr">
        <is>
          <t>Georgia Power</t>
        </is>
      </c>
      <c r="C66" t="inlineStr">
        <is>
          <t>GA</t>
        </is>
      </c>
      <c r="D66" t="inlineStr">
        <is>
          <t>BLANKETS CREEK – WOODSTOCK 115KV LINE REBUILD</t>
        </is>
      </c>
      <c r="E66" t="inlineStr">
        <is>
          <t>BLANKETS CREEK</t>
        </is>
      </c>
      <c r="F66" t="n">
        <v>34.1857567</v>
      </c>
      <c r="G66" t="n">
        <v>-84.5080123</v>
      </c>
      <c r="H66" t="inlineStr">
        <is>
          <t>WOODSTOCK</t>
        </is>
      </c>
      <c r="I66" t="n">
        <v>34.0852701</v>
      </c>
      <c r="J66" t="n">
        <v>-84.51345569999999</v>
      </c>
      <c r="K66">
        <f>IF(ISBLANK(I66), F66, IF(ISBLANK(F66), I66, (F66+I66)/2))</f>
        <v/>
      </c>
      <c r="L66">
        <f>IF(ISBLANK(J66), G66, IF(ISBLANK(G66), J66, (G66+J66)/2))</f>
        <v/>
      </c>
      <c r="M66" t="inlineStr">
        <is>
          <t>2026-06-01</t>
        </is>
      </c>
      <c r="N66" t="n">
        <v>0</v>
      </c>
      <c r="R66" t="inlineStr">
        <is>
          <t>confirmed</t>
        </is>
      </c>
      <c r="S66" t="inlineStr">
        <is>
          <t>confirmed</t>
        </is>
      </c>
      <c r="T66" t="inlineStr">
        <is>
          <t>confirmed</t>
        </is>
      </c>
      <c r="U66" t="inlineStr">
        <is>
          <t>18960</t>
        </is>
      </c>
      <c r="V66" t="inlineStr">
        <is>
          <t>201</t>
        </is>
      </c>
      <c r="X66" t="inlineStr"/>
    </row>
    <row r="67">
      <c r="A67" t="inlineStr">
        <is>
          <t>GPC_22</t>
        </is>
      </c>
      <c r="B67" t="inlineStr">
        <is>
          <t>Georgia Power</t>
        </is>
      </c>
      <c r="C67" t="inlineStr">
        <is>
          <t>GA</t>
        </is>
      </c>
      <c r="D67" t="inlineStr">
        <is>
          <t>CC - GARRETT ROAD SWITCHING STATION - TRAE LANE</t>
        </is>
      </c>
      <c r="E67" t="inlineStr">
        <is>
          <t>GARRETT ROAD SWITCHING STATION</t>
        </is>
      </c>
      <c r="H67" t="inlineStr">
        <is>
          <t>TRAE LANE</t>
        </is>
      </c>
      <c r="K67">
        <f>IF(ISBLANK(I67), F67, IF(ISBLANK(F67), I67, (F67+I67)/2))</f>
        <v/>
      </c>
      <c r="L67">
        <f>IF(ISBLANK(J67), G67, IF(ISBLANK(G67), J67, (G67+J67)/2))</f>
        <v/>
      </c>
      <c r="M67" t="inlineStr">
        <is>
          <t>2026-06-01</t>
        </is>
      </c>
      <c r="N67" t="n">
        <v>0</v>
      </c>
      <c r="R67" t="inlineStr">
        <is>
          <t>unlocated</t>
        </is>
      </c>
      <c r="S67" t="inlineStr">
        <is>
          <t>unlocated</t>
        </is>
      </c>
      <c r="T67" t="inlineStr">
        <is>
          <t>unlocated</t>
        </is>
      </c>
      <c r="U67" t="inlineStr">
        <is>
          <t>20243</t>
        </is>
      </c>
      <c r="V67" t="inlineStr">
        <is>
          <t>201</t>
        </is>
      </c>
      <c r="X67" t="inlineStr">
        <is>
          <t>no endpoint located</t>
        </is>
      </c>
    </row>
    <row r="68">
      <c r="A68" t="inlineStr">
        <is>
          <t>GPC_23</t>
        </is>
      </c>
      <c r="B68" t="inlineStr">
        <is>
          <t>Georgia Power</t>
        </is>
      </c>
      <c r="C68" t="inlineStr">
        <is>
          <t>GA</t>
        </is>
      </c>
      <c r="D68" t="inlineStr">
        <is>
          <t>CC - STONEWALL TELL ROAD (TA REALTY)</t>
        </is>
      </c>
      <c r="E68" t="inlineStr">
        <is>
          <t>STONEWALL TELL ROAD (TA REALTY)</t>
        </is>
      </c>
      <c r="K68">
        <f>IF(ISBLANK(I68), F68, IF(ISBLANK(F68), I68, (F68+I68)/2))</f>
        <v/>
      </c>
      <c r="L68">
        <f>IF(ISBLANK(J68), G68, IF(ISBLANK(G68), J68, (G68+J68)/2))</f>
        <v/>
      </c>
      <c r="M68" t="inlineStr">
        <is>
          <t>2026-06-01</t>
        </is>
      </c>
      <c r="N68" t="n">
        <v>0</v>
      </c>
      <c r="R68" t="inlineStr">
        <is>
          <t>unlocated</t>
        </is>
      </c>
      <c r="S68" t="inlineStr">
        <is>
          <t>unlocated</t>
        </is>
      </c>
      <c r="U68" t="inlineStr">
        <is>
          <t>20216</t>
        </is>
      </c>
      <c r="V68" t="inlineStr">
        <is>
          <t>208</t>
        </is>
      </c>
      <c r="X68" t="inlineStr">
        <is>
          <t>no endpoint located</t>
        </is>
      </c>
    </row>
    <row r="69">
      <c r="A69" t="inlineStr">
        <is>
          <t>GPC_24</t>
        </is>
      </c>
      <c r="B69" t="inlineStr">
        <is>
          <t>Georgia Power</t>
        </is>
      </c>
      <c r="C69" t="inlineStr">
        <is>
          <t>GA</t>
        </is>
      </c>
      <c r="D69" t="inlineStr">
        <is>
          <t>EAST POINT RELAY MODERNIZATION</t>
        </is>
      </c>
      <c r="E69" t="inlineStr">
        <is>
          <t>EAST POINT RELAY MODERNIZATION</t>
        </is>
      </c>
      <c r="F69" t="n">
        <v>33.6763499</v>
      </c>
      <c r="G69" t="n">
        <v>-84.4629659</v>
      </c>
      <c r="K69">
        <f>IF(ISBLANK(I69), F69, IF(ISBLANK(F69), I69, (F69+I69)/2))</f>
        <v/>
      </c>
      <c r="L69">
        <f>IF(ISBLANK(J69), G69, IF(ISBLANK(G69), J69, (G69+J69)/2))</f>
        <v/>
      </c>
      <c r="M69" t="inlineStr">
        <is>
          <t>2026-06-01</t>
        </is>
      </c>
      <c r="N69" t="n">
        <v>0</v>
      </c>
      <c r="R69" t="inlineStr">
        <is>
          <t>confirmed</t>
        </is>
      </c>
      <c r="S69" t="inlineStr">
        <is>
          <t>confirmed</t>
        </is>
      </c>
      <c r="U69" t="inlineStr">
        <is>
          <t>20491</t>
        </is>
      </c>
      <c r="V69" t="inlineStr">
        <is>
          <t>208</t>
        </is>
      </c>
      <c r="X69" t="inlineStr"/>
    </row>
    <row r="70">
      <c r="A70" t="inlineStr">
        <is>
          <t>GPC_25</t>
        </is>
      </c>
      <c r="B70" t="inlineStr">
        <is>
          <t>Georgia Power</t>
        </is>
      </c>
      <c r="C70" t="inlineStr">
        <is>
          <t>GA</t>
        </is>
      </c>
      <c r="D70" t="inlineStr">
        <is>
          <t>FENWICK STREET - SAND BAR FERRY 115KV (RECONDUCTOR/REBUILD)</t>
        </is>
      </c>
      <c r="E70" t="inlineStr">
        <is>
          <t>FENWICK STREET</t>
        </is>
      </c>
      <c r="H70" t="inlineStr">
        <is>
          <t>SAND BAR FERRY</t>
        </is>
      </c>
      <c r="K70">
        <f>IF(ISBLANK(I70), F70, IF(ISBLANK(F70), I70, (F70+I70)/2))</f>
        <v/>
      </c>
      <c r="L70">
        <f>IF(ISBLANK(J70), G70, IF(ISBLANK(G70), J70, (G70+J70)/2))</f>
        <v/>
      </c>
      <c r="M70" t="inlineStr">
        <is>
          <t>2026-06-01</t>
        </is>
      </c>
      <c r="N70" t="n">
        <v>0</v>
      </c>
      <c r="R70" t="inlineStr">
        <is>
          <t>unlocated</t>
        </is>
      </c>
      <c r="S70" t="inlineStr">
        <is>
          <t>unlocated</t>
        </is>
      </c>
      <c r="T70" t="inlineStr">
        <is>
          <t>unlocated</t>
        </is>
      </c>
      <c r="U70" t="inlineStr">
        <is>
          <t>16007</t>
        </is>
      </c>
      <c r="V70" t="inlineStr">
        <is>
          <t>215</t>
        </is>
      </c>
      <c r="X70" t="inlineStr">
        <is>
          <t>no endpoint located</t>
        </is>
      </c>
    </row>
    <row r="71">
      <c r="A71" t="inlineStr">
        <is>
          <t>GPC_26</t>
        </is>
      </c>
      <c r="B71" t="inlineStr">
        <is>
          <t>Georgia Power</t>
        </is>
      </c>
      <c r="C71" t="inlineStr">
        <is>
          <t>GA</t>
        </is>
      </c>
      <c r="D71" t="inlineStr">
        <is>
          <t>GOAT ROCK 230KV SWITCH, JUMPER, &amp; LINE TRAP REPLACEMENT</t>
        </is>
      </c>
      <c r="E71" t="inlineStr">
        <is>
          <t>GOAT ROCK</t>
        </is>
      </c>
      <c r="F71" t="n">
        <v>32.6082662</v>
      </c>
      <c r="G71" t="n">
        <v>-85.0824629</v>
      </c>
      <c r="K71">
        <f>IF(ISBLANK(I71), F71, IF(ISBLANK(F71), I71, (F71+I71)/2))</f>
        <v/>
      </c>
      <c r="L71">
        <f>IF(ISBLANK(J71), G71, IF(ISBLANK(G71), J71, (G71+J71)/2))</f>
        <v/>
      </c>
      <c r="M71" t="inlineStr">
        <is>
          <t>2026-06-01</t>
        </is>
      </c>
      <c r="N71" t="n">
        <v>0</v>
      </c>
      <c r="R71" t="inlineStr">
        <is>
          <t>confirmed</t>
        </is>
      </c>
      <c r="S71" t="inlineStr">
        <is>
          <t>confirmed</t>
        </is>
      </c>
      <c r="U71" t="inlineStr">
        <is>
          <t>20516</t>
        </is>
      </c>
      <c r="V71" t="inlineStr">
        <is>
          <t>213</t>
        </is>
      </c>
      <c r="X71" t="inlineStr"/>
    </row>
    <row r="72">
      <c r="A72" t="inlineStr">
        <is>
          <t>GPC_27</t>
        </is>
      </c>
      <c r="B72" t="inlineStr">
        <is>
          <t>Georgia Power</t>
        </is>
      </c>
      <c r="C72" t="inlineStr">
        <is>
          <t>GA</t>
        </is>
      </c>
      <c r="D72" t="inlineStr">
        <is>
          <t>GORDON-N DUBLIN 115KV (GORDON-ENGL MCI J) REBUILD</t>
        </is>
      </c>
      <c r="E72" t="inlineStr">
        <is>
          <t>GORDON</t>
        </is>
      </c>
      <c r="F72" t="n">
        <v>32.8824706</v>
      </c>
      <c r="G72" t="n">
        <v>-83.31691410000001</v>
      </c>
      <c r="H72" t="inlineStr">
        <is>
          <t>N DUBLIN</t>
        </is>
      </c>
      <c r="K72">
        <f>IF(ISBLANK(I72), F72, IF(ISBLANK(F72), I72, (F72+I72)/2))</f>
        <v/>
      </c>
      <c r="L72">
        <f>IF(ISBLANK(J72), G72, IF(ISBLANK(G72), J72, (G72+J72)/2))</f>
        <v/>
      </c>
      <c r="M72" t="inlineStr">
        <is>
          <t>2026-06-01</t>
        </is>
      </c>
      <c r="N72" t="n">
        <v>0</v>
      </c>
      <c r="R72" t="inlineStr">
        <is>
          <t>confirmed</t>
        </is>
      </c>
      <c r="S72" t="inlineStr">
        <is>
          <t>confirmed</t>
        </is>
      </c>
      <c r="T72" t="inlineStr">
        <is>
          <t>unlocated</t>
        </is>
      </c>
      <c r="U72" t="inlineStr">
        <is>
          <t>19618</t>
        </is>
      </c>
      <c r="V72" t="inlineStr">
        <is>
          <t>214</t>
        </is>
      </c>
      <c r="X72" t="inlineStr">
        <is>
          <t>1 of 2 endpoints located; center uses the located one(s) only</t>
        </is>
      </c>
    </row>
    <row r="73">
      <c r="A73" t="inlineStr">
        <is>
          <t>GPC_28</t>
        </is>
      </c>
      <c r="B73" t="inlineStr">
        <is>
          <t>Georgia Power</t>
        </is>
      </c>
      <c r="C73" t="inlineStr">
        <is>
          <t>GA</t>
        </is>
      </c>
      <c r="D73" t="inlineStr">
        <is>
          <t>GRADY - MORROW (WHITE) 115KV REBUILD</t>
        </is>
      </c>
      <c r="E73" t="inlineStr">
        <is>
          <t>GRADY</t>
        </is>
      </c>
      <c r="F73" t="n">
        <v>32.9953281</v>
      </c>
      <c r="G73" t="n">
        <v>-83.5635642</v>
      </c>
      <c r="H73" t="inlineStr">
        <is>
          <t>MORROW (WHITE)</t>
        </is>
      </c>
      <c r="I73" t="n">
        <v>33.605931</v>
      </c>
      <c r="J73" t="n">
        <v>-84.3334617</v>
      </c>
      <c r="K73">
        <f>IF(ISBLANK(I73), F73, IF(ISBLANK(F73), I73, (F73+I73)/2))</f>
        <v/>
      </c>
      <c r="L73">
        <f>IF(ISBLANK(J73), G73, IF(ISBLANK(G73), J73, (G73+J73)/2))</f>
        <v/>
      </c>
      <c r="M73" t="inlineStr">
        <is>
          <t>2026-06-01</t>
        </is>
      </c>
      <c r="N73" t="n">
        <v>0</v>
      </c>
      <c r="R73" t="inlineStr">
        <is>
          <t>low_confidence</t>
        </is>
      </c>
      <c r="S73" t="inlineStr">
        <is>
          <t>low_confidence</t>
        </is>
      </c>
      <c r="T73" t="inlineStr">
        <is>
          <t>confirmed</t>
        </is>
      </c>
      <c r="U73" t="inlineStr">
        <is>
          <t>21139</t>
        </is>
      </c>
      <c r="V73" t="inlineStr">
        <is>
          <t>206</t>
        </is>
      </c>
      <c r="X73" t="inlineStr"/>
    </row>
    <row r="74">
      <c r="A74" t="inlineStr">
        <is>
          <t>GPC_29</t>
        </is>
      </c>
      <c r="B74" t="inlineStr">
        <is>
          <t>Georgia Power</t>
        </is>
      </c>
      <c r="C74" t="inlineStr">
        <is>
          <t>GA</t>
        </is>
      </c>
      <c r="D74" t="inlineStr">
        <is>
          <t>GRADY 230/115KV RELAY MODERNIZATION</t>
        </is>
      </c>
      <c r="E74" t="inlineStr">
        <is>
          <t>GRADY RELAY MODERNIZATION</t>
        </is>
      </c>
      <c r="F74" t="n">
        <v>32.9953281</v>
      </c>
      <c r="G74" t="n">
        <v>-83.5635642</v>
      </c>
      <c r="K74">
        <f>IF(ISBLANK(I74), F74, IF(ISBLANK(F74), I74, (F74+I74)/2))</f>
        <v/>
      </c>
      <c r="L74">
        <f>IF(ISBLANK(J74), G74, IF(ISBLANK(G74), J74, (G74+J74)/2))</f>
        <v/>
      </c>
      <c r="M74" t="inlineStr">
        <is>
          <t>2026-06-01</t>
        </is>
      </c>
      <c r="N74" t="n">
        <v>0</v>
      </c>
      <c r="R74" t="inlineStr">
        <is>
          <t>low_confidence</t>
        </is>
      </c>
      <c r="S74" t="inlineStr">
        <is>
          <t>low_confidence</t>
        </is>
      </c>
      <c r="U74" t="inlineStr">
        <is>
          <t>20474</t>
        </is>
      </c>
      <c r="V74" t="inlineStr">
        <is>
          <t>206</t>
        </is>
      </c>
      <c r="X74" t="inlineStr"/>
    </row>
    <row r="75">
      <c r="A75" t="inlineStr">
        <is>
          <t>GPC_30</t>
        </is>
      </c>
      <c r="B75" t="inlineStr">
        <is>
          <t>Georgia Power</t>
        </is>
      </c>
      <c r="C75" t="inlineStr">
        <is>
          <t>GA</t>
        </is>
      </c>
      <c r="D75" t="inlineStr">
        <is>
          <t>GRID - GAINESVILLE #2 EQUIPMENT REPLACEMENT</t>
        </is>
      </c>
      <c r="E75" t="inlineStr">
        <is>
          <t>GAINESVILLE #2 EQUIPMENT REPLACEMENT</t>
        </is>
      </c>
      <c r="F75" t="n">
        <v>34.263022</v>
      </c>
      <c r="G75" t="n">
        <v>-83.8096728</v>
      </c>
      <c r="K75">
        <f>IF(ISBLANK(I75), F75, IF(ISBLANK(F75), I75, (F75+I75)/2))</f>
        <v/>
      </c>
      <c r="L75">
        <f>IF(ISBLANK(J75), G75, IF(ISBLANK(G75), J75, (G75+J75)/2))</f>
        <v/>
      </c>
      <c r="M75" t="inlineStr">
        <is>
          <t>2026-06-01</t>
        </is>
      </c>
      <c r="N75" t="n">
        <v>0</v>
      </c>
      <c r="R75" t="inlineStr">
        <is>
          <t>confirmed</t>
        </is>
      </c>
      <c r="S75" t="inlineStr">
        <is>
          <t>confirmed</t>
        </is>
      </c>
      <c r="U75" t="inlineStr">
        <is>
          <t>19706</t>
        </is>
      </c>
      <c r="V75" t="inlineStr">
        <is>
          <t>212</t>
        </is>
      </c>
      <c r="X75" t="inlineStr"/>
    </row>
    <row r="76">
      <c r="A76" t="inlineStr">
        <is>
          <t>GPC_31</t>
        </is>
      </c>
      <c r="B76" t="inlineStr">
        <is>
          <t>Georgia Power</t>
        </is>
      </c>
      <c r="C76" t="inlineStr">
        <is>
          <t>GA</t>
        </is>
      </c>
      <c r="D76" t="inlineStr">
        <is>
          <t>HAMMOND - WEISS DAM 115KV LINE REBUILD</t>
        </is>
      </c>
      <c r="E76" t="inlineStr">
        <is>
          <t>HAMMOND</t>
        </is>
      </c>
      <c r="F76" t="n">
        <v>34.2512064</v>
      </c>
      <c r="G76" t="n">
        <v>-85.34558</v>
      </c>
      <c r="H76" t="inlineStr">
        <is>
          <t>WEISS DAM</t>
        </is>
      </c>
      <c r="K76">
        <f>IF(ISBLANK(I76), F76, IF(ISBLANK(F76), I76, (F76+I76)/2))</f>
        <v/>
      </c>
      <c r="L76">
        <f>IF(ISBLANK(J76), G76, IF(ISBLANK(G76), J76, (G76+J76)/2))</f>
        <v/>
      </c>
      <c r="M76" t="inlineStr">
        <is>
          <t>2026-06-01</t>
        </is>
      </c>
      <c r="N76" t="n">
        <v>0</v>
      </c>
      <c r="R76" t="inlineStr">
        <is>
          <t>low_confidence</t>
        </is>
      </c>
      <c r="S76" t="inlineStr">
        <is>
          <t>low_confidence</t>
        </is>
      </c>
      <c r="T76" t="inlineStr">
        <is>
          <t>unlocated</t>
        </is>
      </c>
      <c r="U76" t="inlineStr">
        <is>
          <t>19636</t>
        </is>
      </c>
      <c r="V76" t="inlineStr">
        <is>
          <t>211</t>
        </is>
      </c>
      <c r="X76" t="inlineStr">
        <is>
          <t>1 of 2 endpoints located; center uses the located one(s) only</t>
        </is>
      </c>
    </row>
    <row r="77">
      <c r="A77" t="inlineStr">
        <is>
          <t>GPC_32</t>
        </is>
      </c>
      <c r="B77" t="inlineStr">
        <is>
          <t>Georgia Power</t>
        </is>
      </c>
      <c r="C77" t="inlineStr">
        <is>
          <t>GA</t>
        </is>
      </c>
      <c r="D77" t="inlineStr">
        <is>
          <t>KATHLEEN AREA IMPROVEMENTS</t>
        </is>
      </c>
      <c r="E77" t="inlineStr">
        <is>
          <t>KATHLEEN AREA IMPROVEMENTS</t>
        </is>
      </c>
      <c r="F77" t="n">
        <v>32.495294</v>
      </c>
      <c r="G77" t="n">
        <v>-83.6099696</v>
      </c>
      <c r="K77">
        <f>IF(ISBLANK(I77), F77, IF(ISBLANK(F77), I77, (F77+I77)/2))</f>
        <v/>
      </c>
      <c r="L77">
        <f>IF(ISBLANK(J77), G77, IF(ISBLANK(G77), J77, (G77+J77)/2))</f>
        <v/>
      </c>
      <c r="M77" t="inlineStr">
        <is>
          <t>2026-06-01</t>
        </is>
      </c>
      <c r="N77" t="n">
        <v>0</v>
      </c>
      <c r="R77" t="inlineStr">
        <is>
          <t>low_confidence</t>
        </is>
      </c>
      <c r="S77" t="inlineStr">
        <is>
          <t>low_confidence</t>
        </is>
      </c>
      <c r="U77" t="inlineStr">
        <is>
          <t>20512</t>
        </is>
      </c>
      <c r="V77" t="inlineStr">
        <is>
          <t>214</t>
        </is>
      </c>
      <c r="X77" t="inlineStr"/>
    </row>
    <row r="78">
      <c r="A78" t="inlineStr">
        <is>
          <t>GPC_33</t>
        </is>
      </c>
      <c r="B78" t="inlineStr">
        <is>
          <t>Georgia Power</t>
        </is>
      </c>
      <c r="C78" t="inlineStr">
        <is>
          <t>GA</t>
        </is>
      </c>
      <c r="D78" t="inlineStr">
        <is>
          <t>KLONDIKE RELAY MODERNIZATION</t>
        </is>
      </c>
      <c r="E78" t="inlineStr">
        <is>
          <t>KLONDIKE RELAY MODERNIZATION</t>
        </is>
      </c>
      <c r="F78" t="n">
        <v>33.6369768</v>
      </c>
      <c r="G78" t="n">
        <v>-84.124487</v>
      </c>
      <c r="K78">
        <f>IF(ISBLANK(I78), F78, IF(ISBLANK(F78), I78, (F78+I78)/2))</f>
        <v/>
      </c>
      <c r="L78">
        <f>IF(ISBLANK(J78), G78, IF(ISBLANK(G78), J78, (G78+J78)/2))</f>
        <v/>
      </c>
      <c r="M78" t="inlineStr">
        <is>
          <t>2026-06-01</t>
        </is>
      </c>
      <c r="N78" t="n">
        <v>0</v>
      </c>
      <c r="R78" t="inlineStr">
        <is>
          <t>confirmed</t>
        </is>
      </c>
      <c r="S78" t="inlineStr">
        <is>
          <t>confirmed</t>
        </is>
      </c>
      <c r="U78" t="inlineStr">
        <is>
          <t>20490</t>
        </is>
      </c>
      <c r="V78" t="inlineStr">
        <is>
          <t>206</t>
        </is>
      </c>
      <c r="X78" t="inlineStr"/>
    </row>
    <row r="79">
      <c r="A79" t="inlineStr">
        <is>
          <t>GPC_34</t>
        </is>
      </c>
      <c r="B79" t="inlineStr">
        <is>
          <t>Georgia Power</t>
        </is>
      </c>
      <c r="C79" t="inlineStr">
        <is>
          <t>GA</t>
        </is>
      </c>
      <c r="D79" t="inlineStr">
        <is>
          <t>MORROW 115KV RELAY UPGRADE</t>
        </is>
      </c>
      <c r="E79" t="inlineStr">
        <is>
          <t>MORROW</t>
        </is>
      </c>
      <c r="F79" t="n">
        <v>33.605931</v>
      </c>
      <c r="G79" t="n">
        <v>-84.3334617</v>
      </c>
      <c r="K79">
        <f>IF(ISBLANK(I79), F79, IF(ISBLANK(F79), I79, (F79+I79)/2))</f>
        <v/>
      </c>
      <c r="L79">
        <f>IF(ISBLANK(J79), G79, IF(ISBLANK(G79), J79, (G79+J79)/2))</f>
        <v/>
      </c>
      <c r="M79" t="inlineStr">
        <is>
          <t>2026-06-01</t>
        </is>
      </c>
      <c r="N79" t="n">
        <v>0</v>
      </c>
      <c r="R79" t="inlineStr">
        <is>
          <t>confirmed</t>
        </is>
      </c>
      <c r="S79" t="inlineStr">
        <is>
          <t>confirmed</t>
        </is>
      </c>
      <c r="U79" t="inlineStr">
        <is>
          <t>20300</t>
        </is>
      </c>
      <c r="V79" t="inlineStr">
        <is>
          <t>208</t>
        </is>
      </c>
      <c r="X79" t="inlineStr"/>
    </row>
    <row r="80">
      <c r="A80" t="inlineStr">
        <is>
          <t>GPC_35</t>
        </is>
      </c>
      <c r="B80" t="inlineStr">
        <is>
          <t>Georgia Power</t>
        </is>
      </c>
      <c r="C80" t="inlineStr">
        <is>
          <t>GA</t>
        </is>
      </c>
      <c r="D80" t="inlineStr">
        <is>
          <t>PALMYRA REACTOR REMOVAL</t>
        </is>
      </c>
      <c r="E80" t="inlineStr">
        <is>
          <t>PALMYRA REACTOR REMOVAL</t>
        </is>
      </c>
      <c r="F80" t="n">
        <v>31.6376726</v>
      </c>
      <c r="G80" t="n">
        <v>-84.1943534</v>
      </c>
      <c r="K80">
        <f>IF(ISBLANK(I80), F80, IF(ISBLANK(F80), I80, (F80+I80)/2))</f>
        <v/>
      </c>
      <c r="L80">
        <f>IF(ISBLANK(J80), G80, IF(ISBLANK(G80), J80, (G80+J80)/2))</f>
        <v/>
      </c>
      <c r="M80" t="inlineStr">
        <is>
          <t>2026-06-01</t>
        </is>
      </c>
      <c r="N80" t="n">
        <v>0</v>
      </c>
      <c r="R80" t="inlineStr">
        <is>
          <t>low_confidence</t>
        </is>
      </c>
      <c r="S80" t="inlineStr">
        <is>
          <t>low_confidence</t>
        </is>
      </c>
      <c r="U80" t="inlineStr">
        <is>
          <t>18690</t>
        </is>
      </c>
      <c r="V80" t="inlineStr">
        <is>
          <t>216</t>
        </is>
      </c>
      <c r="X80" t="inlineStr"/>
    </row>
    <row r="81">
      <c r="A81" t="inlineStr">
        <is>
          <t>GPC_36</t>
        </is>
      </c>
      <c r="B81" t="inlineStr">
        <is>
          <t>Georgia Power</t>
        </is>
      </c>
      <c r="C81" t="inlineStr">
        <is>
          <t>GA</t>
        </is>
      </c>
      <c r="D81" t="inlineStr">
        <is>
          <t>SAV: BOULEVARD - DEPTFORD 115KV RECONDUCTOR</t>
        </is>
      </c>
      <c r="E81" t="inlineStr">
        <is>
          <t>BOULEVARD</t>
        </is>
      </c>
      <c r="F81" t="n">
        <v>32.0412308</v>
      </c>
      <c r="G81" t="n">
        <v>-81.1444637</v>
      </c>
      <c r="H81" t="inlineStr">
        <is>
          <t>DEPTFORD</t>
        </is>
      </c>
      <c r="I81" t="n">
        <v>32.0668279</v>
      </c>
      <c r="J81" t="n">
        <v>-81.0483845</v>
      </c>
      <c r="K81">
        <f>IF(ISBLANK(I81), F81, IF(ISBLANK(F81), I81, (F81+I81)/2))</f>
        <v/>
      </c>
      <c r="L81">
        <f>IF(ISBLANK(J81), G81, IF(ISBLANK(G81), J81, (G81+J81)/2))</f>
        <v/>
      </c>
      <c r="M81" t="inlineStr">
        <is>
          <t>2026-06-01</t>
        </is>
      </c>
      <c r="N81" t="n">
        <v>2</v>
      </c>
      <c r="O81" t="inlineStr">
        <is>
          <t>DESC_10</t>
        </is>
      </c>
      <c r="P81" t="inlineStr">
        <is>
          <t>DESC_23</t>
        </is>
      </c>
      <c r="R81" t="inlineStr">
        <is>
          <t>confirmed</t>
        </is>
      </c>
      <c r="S81" t="inlineStr">
        <is>
          <t>confirmed</t>
        </is>
      </c>
      <c r="T81" t="inlineStr">
        <is>
          <t>confirmed</t>
        </is>
      </c>
      <c r="U81" t="inlineStr">
        <is>
          <t>20066</t>
        </is>
      </c>
      <c r="V81" t="inlineStr">
        <is>
          <t>219</t>
        </is>
      </c>
      <c r="X81" t="inlineStr"/>
    </row>
    <row r="82">
      <c r="A82" t="inlineStr">
        <is>
          <t>GPC_37</t>
        </is>
      </c>
      <c r="B82" t="inlineStr">
        <is>
          <t>Georgia Power</t>
        </is>
      </c>
      <c r="C82" t="inlineStr">
        <is>
          <t>GA</t>
        </is>
      </c>
      <c r="D82" t="inlineStr">
        <is>
          <t>SAV: CC - BIG OGEECHEE 500/230KV (CC NETWORK IMPROVEMENTS)</t>
        </is>
      </c>
      <c r="E82" t="inlineStr">
        <is>
          <t>BIG OGEECHEE (CC NETWORK IMPROVEMENTS)</t>
        </is>
      </c>
      <c r="K82">
        <f>IF(ISBLANK(I82), F82, IF(ISBLANK(F82), I82, (F82+I82)/2))</f>
        <v/>
      </c>
      <c r="L82">
        <f>IF(ISBLANK(J82), G82, IF(ISBLANK(G82), J82, (G82+J82)/2))</f>
        <v/>
      </c>
      <c r="M82" t="inlineStr">
        <is>
          <t>2026-06-01</t>
        </is>
      </c>
      <c r="N82" t="n">
        <v>0</v>
      </c>
      <c r="R82" t="inlineStr">
        <is>
          <t>unlocated</t>
        </is>
      </c>
      <c r="S82" t="inlineStr">
        <is>
          <t>unlocated</t>
        </is>
      </c>
      <c r="U82" t="inlineStr">
        <is>
          <t>19966</t>
        </is>
      </c>
      <c r="V82" t="inlineStr">
        <is>
          <t>219</t>
        </is>
      </c>
      <c r="X82" t="inlineStr">
        <is>
          <t>no endpoint located</t>
        </is>
      </c>
    </row>
    <row r="83">
      <c r="A83" t="inlineStr">
        <is>
          <t>GPC_38</t>
        </is>
      </c>
      <c r="B83" t="inlineStr">
        <is>
          <t>Georgia Power</t>
        </is>
      </c>
      <c r="C83" t="inlineStr">
        <is>
          <t>GA</t>
        </is>
      </c>
      <c r="D83" t="inlineStr">
        <is>
          <t>SAV: MCINTOSH - PURRYSBURG 230KV REACTORS</t>
        </is>
      </c>
      <c r="E83" t="inlineStr">
        <is>
          <t>MCINTOSH</t>
        </is>
      </c>
      <c r="F83" t="n">
        <v>32.352116</v>
      </c>
      <c r="G83" t="n">
        <v>-81.175112</v>
      </c>
      <c r="H83" t="inlineStr">
        <is>
          <t>PURRYSBURG</t>
        </is>
      </c>
      <c r="K83">
        <f>IF(ISBLANK(I83), F83, IF(ISBLANK(F83), I83, (F83+I83)/2))</f>
        <v/>
      </c>
      <c r="L83">
        <f>IF(ISBLANK(J83), G83, IF(ISBLANK(G83), J83, (G83+J83)/2))</f>
        <v/>
      </c>
      <c r="M83" t="inlineStr">
        <is>
          <t>2026-06-01</t>
        </is>
      </c>
      <c r="N83" t="n">
        <v>3</v>
      </c>
      <c r="O83" t="inlineStr">
        <is>
          <t>DESC_23</t>
        </is>
      </c>
      <c r="P83" t="inlineStr">
        <is>
          <t>DESC_10</t>
        </is>
      </c>
      <c r="Q83" t="inlineStr">
        <is>
          <t>DESC_3</t>
        </is>
      </c>
      <c r="R83" t="inlineStr">
        <is>
          <t>confirmed</t>
        </is>
      </c>
      <c r="S83" t="inlineStr">
        <is>
          <t>confirmed</t>
        </is>
      </c>
      <c r="T83" t="inlineStr">
        <is>
          <t>unlocated</t>
        </is>
      </c>
      <c r="U83" t="inlineStr">
        <is>
          <t>20277</t>
        </is>
      </c>
      <c r="V83" t="inlineStr">
        <is>
          <t>219</t>
        </is>
      </c>
      <c r="X83" t="inlineStr">
        <is>
          <t>1 of 2 endpoints located; center uses the located one(s) only</t>
        </is>
      </c>
    </row>
    <row r="84">
      <c r="A84" t="inlineStr">
        <is>
          <t>GPC_39</t>
        </is>
      </c>
      <c r="B84" t="inlineStr">
        <is>
          <t>Georgia Power</t>
        </is>
      </c>
      <c r="C84" t="inlineStr">
        <is>
          <t>GA</t>
        </is>
      </c>
      <c r="D84" t="inlineStr">
        <is>
          <t>SCOTTDALE RELAY MODERNIZATION</t>
        </is>
      </c>
      <c r="E84" t="inlineStr">
        <is>
          <t>SCOTTDALE RELAY MODERNIZATION</t>
        </is>
      </c>
      <c r="F84" t="n">
        <v>33.7898269</v>
      </c>
      <c r="G84" t="n">
        <v>-84.2640889</v>
      </c>
      <c r="K84">
        <f>IF(ISBLANK(I84), F84, IF(ISBLANK(F84), I84, (F84+I84)/2))</f>
        <v/>
      </c>
      <c r="L84">
        <f>IF(ISBLANK(J84), G84, IF(ISBLANK(G84), J84, (G84+J84)/2))</f>
        <v/>
      </c>
      <c r="M84" t="inlineStr">
        <is>
          <t>2026-06-01</t>
        </is>
      </c>
      <c r="N84" t="n">
        <v>0</v>
      </c>
      <c r="R84" t="inlineStr">
        <is>
          <t>low_confidence</t>
        </is>
      </c>
      <c r="S84" t="inlineStr">
        <is>
          <t>low_confidence</t>
        </is>
      </c>
      <c r="U84" t="inlineStr">
        <is>
          <t>20489</t>
        </is>
      </c>
      <c r="V84" t="inlineStr">
        <is>
          <t>206</t>
        </is>
      </c>
      <c r="X84" t="inlineStr"/>
    </row>
    <row r="85">
      <c r="A85" t="inlineStr">
        <is>
          <t>GPC_40</t>
        </is>
      </c>
      <c r="B85" t="inlineStr">
        <is>
          <t>Georgia Power</t>
        </is>
      </c>
      <c r="C85" t="inlineStr">
        <is>
          <t>GA</t>
        </is>
      </c>
      <c r="D85" t="inlineStr">
        <is>
          <t>UNION CITY - YATES 230 KV WHITE LINE REBUILD</t>
        </is>
      </c>
      <c r="E85" t="inlineStr">
        <is>
          <t>UNION CITY</t>
        </is>
      </c>
      <c r="F85" t="n">
        <v>33.5870558</v>
      </c>
      <c r="G85" t="n">
        <v>-84.5424299</v>
      </c>
      <c r="H85" t="inlineStr">
        <is>
          <t>YATES</t>
        </is>
      </c>
      <c r="I85" t="n">
        <v>33.463447</v>
      </c>
      <c r="J85" t="n">
        <v>-84.89493849999999</v>
      </c>
      <c r="K85">
        <f>IF(ISBLANK(I85), F85, IF(ISBLANK(F85), I85, (F85+I85)/2))</f>
        <v/>
      </c>
      <c r="L85">
        <f>IF(ISBLANK(J85), G85, IF(ISBLANK(G85), J85, (G85+J85)/2))</f>
        <v/>
      </c>
      <c r="M85" t="inlineStr">
        <is>
          <t>2026-04-01</t>
        </is>
      </c>
      <c r="N85" t="n">
        <v>0</v>
      </c>
      <c r="R85" t="inlineStr">
        <is>
          <t>low_confidence</t>
        </is>
      </c>
      <c r="S85" t="inlineStr">
        <is>
          <t>low_confidence</t>
        </is>
      </c>
      <c r="T85" t="inlineStr">
        <is>
          <t>low_confidence</t>
        </is>
      </c>
      <c r="U85" t="inlineStr">
        <is>
          <t>17900</t>
        </is>
      </c>
      <c r="V85" t="inlineStr">
        <is>
          <t>208</t>
        </is>
      </c>
      <c r="X85" t="inlineStr"/>
    </row>
    <row r="86">
      <c r="A86" t="inlineStr">
        <is>
          <t>GPC_41</t>
        </is>
      </c>
      <c r="B86" t="inlineStr">
        <is>
          <t>Georgia Power</t>
        </is>
      </c>
      <c r="C86" t="inlineStr">
        <is>
          <t>GA</t>
        </is>
      </c>
      <c r="D86" t="inlineStr">
        <is>
          <t>UNION CITY - YATES 230KV (WHITE) SWITCH AND TRAP REPLACEMENT</t>
        </is>
      </c>
      <c r="E86" t="inlineStr">
        <is>
          <t>UNION CITY</t>
        </is>
      </c>
      <c r="F86" t="n">
        <v>33.5870558</v>
      </c>
      <c r="G86" t="n">
        <v>-84.5424299</v>
      </c>
      <c r="H86" t="inlineStr">
        <is>
          <t>YATES</t>
        </is>
      </c>
      <c r="I86" t="n">
        <v>33.463447</v>
      </c>
      <c r="J86" t="n">
        <v>-84.89493849999999</v>
      </c>
      <c r="K86">
        <f>IF(ISBLANK(I86), F86, IF(ISBLANK(F86), I86, (F86+I86)/2))</f>
        <v/>
      </c>
      <c r="L86">
        <f>IF(ISBLANK(J86), G86, IF(ISBLANK(G86), J86, (G86+J86)/2))</f>
        <v/>
      </c>
      <c r="M86" t="inlineStr">
        <is>
          <t>2026-06-01</t>
        </is>
      </c>
      <c r="N86" t="n">
        <v>0</v>
      </c>
      <c r="R86" t="inlineStr">
        <is>
          <t>low_confidence</t>
        </is>
      </c>
      <c r="S86" t="inlineStr">
        <is>
          <t>low_confidence</t>
        </is>
      </c>
      <c r="T86" t="inlineStr">
        <is>
          <t>low_confidence</t>
        </is>
      </c>
      <c r="U86" t="inlineStr">
        <is>
          <t>20691</t>
        </is>
      </c>
      <c r="V86" t="inlineStr">
        <is>
          <t>208</t>
        </is>
      </c>
      <c r="X86" t="inlineStr"/>
    </row>
    <row r="87">
      <c r="A87" t="inlineStr">
        <is>
          <t>GPC_42</t>
        </is>
      </c>
      <c r="B87" t="inlineStr">
        <is>
          <t>Georgia Power</t>
        </is>
      </c>
      <c r="C87" t="inlineStr">
        <is>
          <t>GA</t>
        </is>
      </c>
      <c r="D87" t="inlineStr">
        <is>
          <t>CC - PROJECT PAYTON BAINBRIDGE</t>
        </is>
      </c>
      <c r="K87">
        <f>IF(ISBLANK(I87), F87, IF(ISBLANK(F87), I87, (F87+I87)/2))</f>
        <v/>
      </c>
      <c r="L87">
        <f>IF(ISBLANK(J87), G87, IF(ISBLANK(G87), J87, (G87+J87)/2))</f>
        <v/>
      </c>
      <c r="M87" t="inlineStr">
        <is>
          <t>2026-06-30</t>
        </is>
      </c>
      <c r="N87" t="n">
        <v>0</v>
      </c>
      <c r="R87" t="inlineStr">
        <is>
          <t>unlocated</t>
        </is>
      </c>
      <c r="U87" t="inlineStr">
        <is>
          <t>20223</t>
        </is>
      </c>
      <c r="V87" t="inlineStr">
        <is>
          <t>216</t>
        </is>
      </c>
      <c r="X87" t="inlineStr">
        <is>
          <t>no endpoint located</t>
        </is>
      </c>
    </row>
    <row r="88">
      <c r="A88" t="inlineStr">
        <is>
          <t>GPC_43</t>
        </is>
      </c>
      <c r="B88" t="inlineStr">
        <is>
          <t>Georgia Power</t>
        </is>
      </c>
      <c r="C88" t="inlineStr">
        <is>
          <t>GA</t>
        </is>
      </c>
      <c r="D88" t="inlineStr">
        <is>
          <t>OHARA BREAKER REPLACEMENT</t>
        </is>
      </c>
      <c r="E88" t="inlineStr">
        <is>
          <t>OHARA BREAKER REPLACEMENT</t>
        </is>
      </c>
      <c r="F88" t="n">
        <v>33.4819007</v>
      </c>
      <c r="G88" t="n">
        <v>-84.3673898</v>
      </c>
      <c r="K88">
        <f>IF(ISBLANK(I88), F88, IF(ISBLANK(F88), I88, (F88+I88)/2))</f>
        <v/>
      </c>
      <c r="L88">
        <f>IF(ISBLANK(J88), G88, IF(ISBLANK(G88), J88, (G88+J88)/2))</f>
        <v/>
      </c>
      <c r="M88" t="inlineStr">
        <is>
          <t>2026-10-01</t>
        </is>
      </c>
      <c r="N88" t="n">
        <v>0</v>
      </c>
      <c r="R88" t="inlineStr">
        <is>
          <t>low_confidence</t>
        </is>
      </c>
      <c r="S88" t="inlineStr">
        <is>
          <t>low_confidence</t>
        </is>
      </c>
      <c r="U88" t="inlineStr">
        <is>
          <t>21022</t>
        </is>
      </c>
      <c r="V88" t="inlineStr">
        <is>
          <t>208</t>
        </is>
      </c>
      <c r="X88" t="inlineStr"/>
    </row>
    <row r="89">
      <c r="A89" t="inlineStr">
        <is>
          <t>GPC_44</t>
        </is>
      </c>
      <c r="B89" t="inlineStr">
        <is>
          <t>Georgia Power</t>
        </is>
      </c>
      <c r="C89" t="inlineStr">
        <is>
          <t>GA</t>
        </is>
      </c>
      <c r="D89" t="inlineStr">
        <is>
          <t>DRESDEN LINE PROTECTIVE RELAYING</t>
        </is>
      </c>
      <c r="E89" t="inlineStr">
        <is>
          <t>DRESDEN LINE PROTECTIVE RELAYING</t>
        </is>
      </c>
      <c r="K89">
        <f>IF(ISBLANK(I89), F89, IF(ISBLANK(F89), I89, (F89+I89)/2))</f>
        <v/>
      </c>
      <c r="L89">
        <f>IF(ISBLANK(J89), G89, IF(ISBLANK(G89), J89, (G89+J89)/2))</f>
        <v/>
      </c>
      <c r="M89" t="inlineStr">
        <is>
          <t>2026-12-01</t>
        </is>
      </c>
      <c r="N89" t="n">
        <v>0</v>
      </c>
      <c r="R89" t="inlineStr">
        <is>
          <t>unlocated</t>
        </is>
      </c>
      <c r="S89" t="inlineStr">
        <is>
          <t>unlocated</t>
        </is>
      </c>
      <c r="U89" t="inlineStr">
        <is>
          <t>20668</t>
        </is>
      </c>
      <c r="V89" t="inlineStr">
        <is>
          <t>208</t>
        </is>
      </c>
      <c r="X89" t="inlineStr">
        <is>
          <t>no endpoint located</t>
        </is>
      </c>
    </row>
    <row r="90">
      <c r="A90" t="inlineStr">
        <is>
          <t>GPC_45</t>
        </is>
      </c>
      <c r="B90" t="inlineStr">
        <is>
          <t>Georgia Power</t>
        </is>
      </c>
      <c r="C90" t="inlineStr">
        <is>
          <t>GA</t>
        </is>
      </c>
      <c r="D90" t="inlineStr">
        <is>
          <t>CC - CASS PINE 230/25 NEW SUB - QCELLS - CC IMPROVEMENTS</t>
        </is>
      </c>
      <c r="E90" t="inlineStr">
        <is>
          <t>CASS PINE 230/25 NEW</t>
        </is>
      </c>
      <c r="H90" t="inlineStr">
        <is>
          <t>QCELLS</t>
        </is>
      </c>
      <c r="K90">
        <f>IF(ISBLANK(I90), F90, IF(ISBLANK(F90), I90, (F90+I90)/2))</f>
        <v/>
      </c>
      <c r="L90">
        <f>IF(ISBLANK(J90), G90, IF(ISBLANK(G90), J90, (G90+J90)/2))</f>
        <v/>
      </c>
      <c r="M90" t="inlineStr">
        <is>
          <t>2026-12-31</t>
        </is>
      </c>
      <c r="N90" t="n">
        <v>0</v>
      </c>
      <c r="R90" t="inlineStr">
        <is>
          <t>unlocated</t>
        </is>
      </c>
      <c r="S90" t="inlineStr">
        <is>
          <t>unlocated</t>
        </is>
      </c>
      <c r="T90" t="inlineStr">
        <is>
          <t>unlocated</t>
        </is>
      </c>
      <c r="U90" t="inlineStr">
        <is>
          <t>20151</t>
        </is>
      </c>
      <c r="V90" t="inlineStr">
        <is>
          <t>211</t>
        </is>
      </c>
      <c r="X90" t="inlineStr">
        <is>
          <t>no endpoint located</t>
        </is>
      </c>
    </row>
    <row r="91">
      <c r="A91" t="inlineStr">
        <is>
          <t>GPC_46</t>
        </is>
      </c>
      <c r="B91" t="inlineStr">
        <is>
          <t>Georgia Power</t>
        </is>
      </c>
      <c r="C91" t="inlineStr">
        <is>
          <t>GA</t>
        </is>
      </c>
      <c r="D91" t="inlineStr">
        <is>
          <t>GRADY-WEST END 115KV REBUILD</t>
        </is>
      </c>
      <c r="E91" t="inlineStr">
        <is>
          <t>GRADY</t>
        </is>
      </c>
      <c r="F91" t="n">
        <v>32.9953281</v>
      </c>
      <c r="G91" t="n">
        <v>-83.5635642</v>
      </c>
      <c r="H91" t="inlineStr">
        <is>
          <t>WEST END</t>
        </is>
      </c>
      <c r="I91" t="n">
        <v>33.7381626</v>
      </c>
      <c r="J91" t="n">
        <v>-84.4163167</v>
      </c>
      <c r="K91">
        <f>IF(ISBLANK(I91), F91, IF(ISBLANK(F91), I91, (F91+I91)/2))</f>
        <v/>
      </c>
      <c r="L91">
        <f>IF(ISBLANK(J91), G91, IF(ISBLANK(G91), J91, (G91+J91)/2))</f>
        <v/>
      </c>
      <c r="M91" t="inlineStr">
        <is>
          <t>2026-12-31</t>
        </is>
      </c>
      <c r="N91" t="n">
        <v>0</v>
      </c>
      <c r="R91" t="inlineStr">
        <is>
          <t>low_confidence</t>
        </is>
      </c>
      <c r="S91" t="inlineStr">
        <is>
          <t>low_confidence</t>
        </is>
      </c>
      <c r="T91" t="inlineStr">
        <is>
          <t>low_confidence</t>
        </is>
      </c>
      <c r="U91" t="inlineStr">
        <is>
          <t>19287</t>
        </is>
      </c>
      <c r="V91" t="inlineStr">
        <is>
          <t>206</t>
        </is>
      </c>
      <c r="X91" t="inlineStr"/>
    </row>
    <row r="92">
      <c r="A92" t="inlineStr">
        <is>
          <t>GPC_47</t>
        </is>
      </c>
      <c r="B92" t="inlineStr">
        <is>
          <t>Georgia Power</t>
        </is>
      </c>
      <c r="C92" t="inlineStr">
        <is>
          <t>GA</t>
        </is>
      </c>
      <c r="D92" t="inlineStr">
        <is>
          <t>MORROW - MOUNTAIN VIEW 115 KV REBUILD</t>
        </is>
      </c>
      <c r="E92" t="inlineStr">
        <is>
          <t>MORROW</t>
        </is>
      </c>
      <c r="F92" t="n">
        <v>33.605931</v>
      </c>
      <c r="G92" t="n">
        <v>-84.3334617</v>
      </c>
      <c r="H92" t="inlineStr">
        <is>
          <t>MOUNTAIN VIEW</t>
        </is>
      </c>
      <c r="I92" t="n">
        <v>33.6417761</v>
      </c>
      <c r="J92" t="n">
        <v>-84.39020379999999</v>
      </c>
      <c r="K92">
        <f>IF(ISBLANK(I92), F92, IF(ISBLANK(F92), I92, (F92+I92)/2))</f>
        <v/>
      </c>
      <c r="L92">
        <f>IF(ISBLANK(J92), G92, IF(ISBLANK(G92), J92, (G92+J92)/2))</f>
        <v/>
      </c>
      <c r="M92" t="inlineStr">
        <is>
          <t>2026-12-31</t>
        </is>
      </c>
      <c r="N92" t="n">
        <v>0</v>
      </c>
      <c r="R92" t="inlineStr">
        <is>
          <t>low_confidence</t>
        </is>
      </c>
      <c r="S92" t="inlineStr">
        <is>
          <t>confirmed</t>
        </is>
      </c>
      <c r="T92" t="inlineStr">
        <is>
          <t>low_confidence</t>
        </is>
      </c>
      <c r="U92" t="inlineStr">
        <is>
          <t>19363</t>
        </is>
      </c>
      <c r="V92" t="inlineStr">
        <is>
          <t>208</t>
        </is>
      </c>
      <c r="X92" t="inlineStr"/>
    </row>
    <row r="93">
      <c r="A93" t="inlineStr">
        <is>
          <t>GPC_48</t>
        </is>
      </c>
      <c r="B93" t="inlineStr">
        <is>
          <t>Georgia Power</t>
        </is>
      </c>
      <c r="C93" t="inlineStr">
        <is>
          <t>GA</t>
        </is>
      </c>
      <c r="D93" t="inlineStr">
        <is>
          <t>CC - EMBLEM RIVERSIDE CUSTOMER SUB (FLEXENTIAL)</t>
        </is>
      </c>
      <c r="E93" t="inlineStr">
        <is>
          <t>EMBLEM RIVERSIDE CUSTOMER SUB (FLEXENTIAL)</t>
        </is>
      </c>
      <c r="K93">
        <f>IF(ISBLANK(I93), F93, IF(ISBLANK(F93), I93, (F93+I93)/2))</f>
        <v/>
      </c>
      <c r="L93">
        <f>IF(ISBLANK(J93), G93, IF(ISBLANK(G93), J93, (G93+J93)/2))</f>
        <v/>
      </c>
      <c r="M93" t="inlineStr">
        <is>
          <t>2027-03-01</t>
        </is>
      </c>
      <c r="N93" t="n">
        <v>0</v>
      </c>
      <c r="R93" t="inlineStr">
        <is>
          <t>unlocated</t>
        </is>
      </c>
      <c r="S93" t="inlineStr">
        <is>
          <t>unlocated</t>
        </is>
      </c>
      <c r="U93" t="inlineStr">
        <is>
          <t>20509</t>
        </is>
      </c>
      <c r="V93" t="inlineStr">
        <is>
          <t>201</t>
        </is>
      </c>
      <c r="X93" t="inlineStr">
        <is>
          <t>no endpoint located</t>
        </is>
      </c>
    </row>
    <row r="94">
      <c r="A94" t="inlineStr">
        <is>
          <t>GPC_49</t>
        </is>
      </c>
      <c r="B94" t="inlineStr">
        <is>
          <t>Georgia Power</t>
        </is>
      </c>
      <c r="C94" t="inlineStr">
        <is>
          <t>GA</t>
        </is>
      </c>
      <c r="D94" t="inlineStr">
        <is>
          <t>MORROW - YATES COMMON 115KV LINE UPGRADE</t>
        </is>
      </c>
      <c r="E94" t="inlineStr">
        <is>
          <t>MORROW</t>
        </is>
      </c>
      <c r="F94" t="n">
        <v>33.605931</v>
      </c>
      <c r="G94" t="n">
        <v>-84.3334617</v>
      </c>
      <c r="H94" t="inlineStr">
        <is>
          <t>YATES COMMON</t>
        </is>
      </c>
      <c r="I94" t="n">
        <v>33.4616412</v>
      </c>
      <c r="J94" t="n">
        <v>-84.90419780000001</v>
      </c>
      <c r="K94">
        <f>IF(ISBLANK(I94), F94, IF(ISBLANK(F94), I94, (F94+I94)/2))</f>
        <v/>
      </c>
      <c r="L94">
        <f>IF(ISBLANK(J94), G94, IF(ISBLANK(G94), J94, (G94+J94)/2))</f>
        <v/>
      </c>
      <c r="M94" t="inlineStr">
        <is>
          <t>2027-05-01</t>
        </is>
      </c>
      <c r="N94" t="n">
        <v>0</v>
      </c>
      <c r="R94" t="inlineStr">
        <is>
          <t>confirmed</t>
        </is>
      </c>
      <c r="S94" t="inlineStr">
        <is>
          <t>confirmed</t>
        </is>
      </c>
      <c r="T94" t="inlineStr">
        <is>
          <t>confirmed</t>
        </is>
      </c>
      <c r="U94" t="inlineStr">
        <is>
          <t>19601</t>
        </is>
      </c>
      <c r="V94" t="inlineStr">
        <is>
          <t>208</t>
        </is>
      </c>
      <c r="X94" t="inlineStr"/>
    </row>
    <row r="95">
      <c r="A95" t="inlineStr">
        <is>
          <t>GPC_50</t>
        </is>
      </c>
      <c r="B95" t="inlineStr">
        <is>
          <t>Georgia Power</t>
        </is>
      </c>
      <c r="C95" t="inlineStr">
        <is>
          <t>GA</t>
        </is>
      </c>
      <c r="D95" t="inlineStr">
        <is>
          <t>POSSUM BRANCH - YATES COMMON 115KV REBUILD (YATES TO CLEM)</t>
        </is>
      </c>
      <c r="E95" t="inlineStr">
        <is>
          <t>POSSUM BRANCH</t>
        </is>
      </c>
      <c r="H95" t="inlineStr">
        <is>
          <t>YATES COMMON</t>
        </is>
      </c>
      <c r="I95" t="n">
        <v>33.4616412</v>
      </c>
      <c r="J95" t="n">
        <v>-84.90419780000001</v>
      </c>
      <c r="K95">
        <f>IF(ISBLANK(I95), F95, IF(ISBLANK(F95), I95, (F95+I95)/2))</f>
        <v/>
      </c>
      <c r="L95">
        <f>IF(ISBLANK(J95), G95, IF(ISBLANK(G95), J95, (G95+J95)/2))</f>
        <v/>
      </c>
      <c r="M95" t="inlineStr">
        <is>
          <t>2027-05-01</t>
        </is>
      </c>
      <c r="N95" t="n">
        <v>0</v>
      </c>
      <c r="R95" t="inlineStr">
        <is>
          <t>confirmed</t>
        </is>
      </c>
      <c r="S95" t="inlineStr">
        <is>
          <t>unlocated</t>
        </is>
      </c>
      <c r="T95" t="inlineStr">
        <is>
          <t>confirmed</t>
        </is>
      </c>
      <c r="U95" t="inlineStr">
        <is>
          <t>15879</t>
        </is>
      </c>
      <c r="V95" t="inlineStr">
        <is>
          <t>211</t>
        </is>
      </c>
      <c r="X95" t="inlineStr">
        <is>
          <t>1 of 2 endpoints located; center uses the located one(s) only</t>
        </is>
      </c>
    </row>
    <row r="96">
      <c r="A96" t="inlineStr">
        <is>
          <t>GPC_51</t>
        </is>
      </c>
      <c r="B96" t="inlineStr">
        <is>
          <t>Georgia Power</t>
        </is>
      </c>
      <c r="C96" t="inlineStr">
        <is>
          <t>GA</t>
        </is>
      </c>
      <c r="D96" t="inlineStr">
        <is>
          <t>CC - GULLATT ROAD TRANSMISSION IMPROVEMENTS</t>
        </is>
      </c>
      <c r="E96" t="inlineStr">
        <is>
          <t>GULLATT ROAD TRANSMISSION IMPROVEMENTS</t>
        </is>
      </c>
      <c r="K96">
        <f>IF(ISBLANK(I96), F96, IF(ISBLANK(F96), I96, (F96+I96)/2))</f>
        <v/>
      </c>
      <c r="L96">
        <f>IF(ISBLANK(J96), G96, IF(ISBLANK(G96), J96, (G96+J96)/2))</f>
        <v/>
      </c>
      <c r="M96" t="inlineStr">
        <is>
          <t>2027-06-01</t>
        </is>
      </c>
      <c r="N96" t="n">
        <v>0</v>
      </c>
      <c r="R96" t="inlineStr">
        <is>
          <t>unlocated</t>
        </is>
      </c>
      <c r="S96" t="inlineStr">
        <is>
          <t>unlocated</t>
        </is>
      </c>
      <c r="U96" t="inlineStr">
        <is>
          <t>20771</t>
        </is>
      </c>
      <c r="V96" t="inlineStr">
        <is>
          <t>208</t>
        </is>
      </c>
      <c r="X96" t="inlineStr">
        <is>
          <t>no endpoint located</t>
        </is>
      </c>
    </row>
    <row r="97">
      <c r="A97" t="inlineStr">
        <is>
          <t>GPC_52</t>
        </is>
      </c>
      <c r="B97" t="inlineStr">
        <is>
          <t>Georgia Power</t>
        </is>
      </c>
      <c r="C97" t="inlineStr">
        <is>
          <t>GA</t>
        </is>
      </c>
      <c r="D97" t="inlineStr">
        <is>
          <t>CC - MICROSOFT - SHUGART (CCO06)</t>
        </is>
      </c>
      <c r="E97" t="inlineStr">
        <is>
          <t>MICROSOFT</t>
        </is>
      </c>
      <c r="H97" t="inlineStr">
        <is>
          <t>SHUGART (CCO06)</t>
        </is>
      </c>
      <c r="K97">
        <f>IF(ISBLANK(I97), F97, IF(ISBLANK(F97), I97, (F97+I97)/2))</f>
        <v/>
      </c>
      <c r="L97">
        <f>IF(ISBLANK(J97), G97, IF(ISBLANK(G97), J97, (G97+J97)/2))</f>
        <v/>
      </c>
      <c r="M97" t="inlineStr">
        <is>
          <t>2027-06-01</t>
        </is>
      </c>
      <c r="N97" t="n">
        <v>0</v>
      </c>
      <c r="R97" t="inlineStr">
        <is>
          <t>unlocated</t>
        </is>
      </c>
      <c r="S97" t="inlineStr">
        <is>
          <t>unlocated</t>
        </is>
      </c>
      <c r="T97" t="inlineStr">
        <is>
          <t>unlocated</t>
        </is>
      </c>
      <c r="U97" t="inlineStr">
        <is>
          <t>18736</t>
        </is>
      </c>
      <c r="V97" t="inlineStr">
        <is>
          <t>208</t>
        </is>
      </c>
      <c r="X97" t="inlineStr">
        <is>
          <t>no endpoint located</t>
        </is>
      </c>
    </row>
    <row r="98">
      <c r="A98" t="inlineStr">
        <is>
          <t>GPC_53</t>
        </is>
      </c>
      <c r="B98" t="inlineStr">
        <is>
          <t>Georgia Power</t>
        </is>
      </c>
      <c r="C98" t="inlineStr">
        <is>
          <t>GA</t>
        </is>
      </c>
      <c r="D98" t="inlineStr">
        <is>
          <t>CC - SUMMER LAKE - VILLA RICA 230KV REBUILD (CC IMPROVMNT)</t>
        </is>
      </c>
      <c r="E98" t="inlineStr">
        <is>
          <t>SUMMER LAKE</t>
        </is>
      </c>
      <c r="H98" t="inlineStr">
        <is>
          <t>VILLA RICA</t>
        </is>
      </c>
      <c r="I98" t="n">
        <v>33.7410224</v>
      </c>
      <c r="J98" t="n">
        <v>-84.85486520000001</v>
      </c>
      <c r="K98">
        <f>IF(ISBLANK(I98), F98, IF(ISBLANK(F98), I98, (F98+I98)/2))</f>
        <v/>
      </c>
      <c r="L98">
        <f>IF(ISBLANK(J98), G98, IF(ISBLANK(G98), J98, (G98+J98)/2))</f>
        <v/>
      </c>
      <c r="M98" t="inlineStr">
        <is>
          <t>2027-06-01</t>
        </is>
      </c>
      <c r="N98" t="n">
        <v>0</v>
      </c>
      <c r="R98" t="inlineStr">
        <is>
          <t>confirmed</t>
        </is>
      </c>
      <c r="S98" t="inlineStr">
        <is>
          <t>unlocated</t>
        </is>
      </c>
      <c r="T98" t="inlineStr">
        <is>
          <t>confirmed</t>
        </is>
      </c>
      <c r="U98" t="inlineStr">
        <is>
          <t>20781</t>
        </is>
      </c>
      <c r="V98" t="inlineStr">
        <is>
          <t>201</t>
        </is>
      </c>
      <c r="X98" t="inlineStr">
        <is>
          <t>1 of 2 endpoints located; center uses the located one(s) only</t>
        </is>
      </c>
    </row>
    <row r="99">
      <c r="A99" t="inlineStr">
        <is>
          <t>GPC_54</t>
        </is>
      </c>
      <c r="B99" t="inlineStr">
        <is>
          <t>Georgia Power</t>
        </is>
      </c>
      <c r="C99" t="inlineStr">
        <is>
          <t>GA</t>
        </is>
      </c>
      <c r="D99" t="inlineStr">
        <is>
          <t>CC - TA REALTY ELLENWOOD NETWORK IMPROVEMENTS</t>
        </is>
      </c>
      <c r="E99" t="inlineStr">
        <is>
          <t>TA REALTY ELLENWOOD NETWORK IMPROVEMENTS</t>
        </is>
      </c>
      <c r="K99">
        <f>IF(ISBLANK(I99), F99, IF(ISBLANK(F99), I99, (F99+I99)/2))</f>
        <v/>
      </c>
      <c r="L99">
        <f>IF(ISBLANK(J99), G99, IF(ISBLANK(G99), J99, (G99+J99)/2))</f>
        <v/>
      </c>
      <c r="M99" t="inlineStr">
        <is>
          <t>2027-06-01</t>
        </is>
      </c>
      <c r="N99" t="n">
        <v>0</v>
      </c>
      <c r="R99" t="inlineStr">
        <is>
          <t>unlocated</t>
        </is>
      </c>
      <c r="S99" t="inlineStr">
        <is>
          <t>unlocated</t>
        </is>
      </c>
      <c r="U99" t="inlineStr">
        <is>
          <t>20736</t>
        </is>
      </c>
      <c r="V99" t="inlineStr">
        <is>
          <t>208</t>
        </is>
      </c>
      <c r="X99" t="inlineStr">
        <is>
          <t>no endpoint located</t>
        </is>
      </c>
    </row>
    <row r="100">
      <c r="A100" t="inlineStr">
        <is>
          <t>GPC_55</t>
        </is>
      </c>
      <c r="B100" t="inlineStr">
        <is>
          <t>Georgia Power</t>
        </is>
      </c>
      <c r="C100" t="inlineStr">
        <is>
          <t>GA</t>
        </is>
      </c>
      <c r="D100" t="inlineStr">
        <is>
          <t>DOYLE - LG&amp;E MONROE 230KV - JACKS CREEK LOOP IN</t>
        </is>
      </c>
      <c r="E100" t="inlineStr">
        <is>
          <t>DOYLE</t>
        </is>
      </c>
      <c r="F100" t="n">
        <v>33.8379245</v>
      </c>
      <c r="G100" t="n">
        <v>-83.698786</v>
      </c>
      <c r="K100">
        <f>IF(ISBLANK(I100), F100, IF(ISBLANK(F100), I100, (F100+I100)/2))</f>
        <v/>
      </c>
      <c r="L100">
        <f>IF(ISBLANK(J100), G100, IF(ISBLANK(G100), J100, (G100+J100)/2))</f>
        <v/>
      </c>
      <c r="M100" t="inlineStr">
        <is>
          <t>2027-06-01</t>
        </is>
      </c>
      <c r="N100" t="n">
        <v>0</v>
      </c>
      <c r="R100" t="inlineStr">
        <is>
          <t>confirmed</t>
        </is>
      </c>
      <c r="S100" t="inlineStr">
        <is>
          <t>confirmed</t>
        </is>
      </c>
      <c r="U100" t="inlineStr">
        <is>
          <t>20234</t>
        </is>
      </c>
      <c r="V100" t="inlineStr">
        <is>
          <t>212</t>
        </is>
      </c>
      <c r="X100" t="inlineStr"/>
    </row>
    <row r="101">
      <c r="A101" t="inlineStr">
        <is>
          <t>GPC_56</t>
        </is>
      </c>
      <c r="B101" t="inlineStr">
        <is>
          <t>Georgia Power</t>
        </is>
      </c>
      <c r="C101" t="inlineStr">
        <is>
          <t>GA</t>
        </is>
      </c>
      <c r="D101" t="inlineStr">
        <is>
          <t>JESUP - OFFERMAN 115KV REBUILD</t>
        </is>
      </c>
      <c r="E101" t="inlineStr">
        <is>
          <t>JESUP</t>
        </is>
      </c>
      <c r="F101" t="n">
        <v>31.603106</v>
      </c>
      <c r="G101" t="n">
        <v>-81.924947</v>
      </c>
      <c r="H101" t="inlineStr">
        <is>
          <t>OFFERMAN</t>
        </is>
      </c>
      <c r="I101" t="n">
        <v>31.4230725</v>
      </c>
      <c r="J101" t="n">
        <v>-82.1436621</v>
      </c>
      <c r="K101">
        <f>IF(ISBLANK(I101), F101, IF(ISBLANK(F101), I101, (F101+I101)/2))</f>
        <v/>
      </c>
      <c r="L101">
        <f>IF(ISBLANK(J101), G101, IF(ISBLANK(G101), J101, (G101+J101)/2))</f>
        <v/>
      </c>
      <c r="M101" t="inlineStr">
        <is>
          <t>2027-06-01</t>
        </is>
      </c>
      <c r="N101" t="n">
        <v>0</v>
      </c>
      <c r="R101" t="inlineStr">
        <is>
          <t>confirmed</t>
        </is>
      </c>
      <c r="S101" t="inlineStr">
        <is>
          <t>confirmed</t>
        </is>
      </c>
      <c r="T101" t="inlineStr">
        <is>
          <t>confirmed</t>
        </is>
      </c>
      <c r="U101" t="inlineStr">
        <is>
          <t>18668</t>
        </is>
      </c>
      <c r="V101" t="inlineStr">
        <is>
          <t>218</t>
        </is>
      </c>
      <c r="X101" t="inlineStr"/>
    </row>
    <row r="102">
      <c r="A102" t="inlineStr">
        <is>
          <t>GPC_57</t>
        </is>
      </c>
      <c r="B102" t="inlineStr">
        <is>
          <t>Georgia Power</t>
        </is>
      </c>
      <c r="C102" t="inlineStr">
        <is>
          <t>GA</t>
        </is>
      </c>
      <c r="D102" t="inlineStr">
        <is>
          <t>LAWRENCEVILLE - WINDER 115KV LINE REBUILD</t>
        </is>
      </c>
      <c r="E102" t="inlineStr">
        <is>
          <t>LAWRENCEVILLE</t>
        </is>
      </c>
      <c r="F102" t="n">
        <v>33.9581487</v>
      </c>
      <c r="G102" t="n">
        <v>-84.01987920000001</v>
      </c>
      <c r="H102" t="inlineStr">
        <is>
          <t>WINDER</t>
        </is>
      </c>
      <c r="I102" t="n">
        <v>33.9954594</v>
      </c>
      <c r="J102" t="n">
        <v>-83.7531307</v>
      </c>
      <c r="K102">
        <f>IF(ISBLANK(I102), F102, IF(ISBLANK(F102), I102, (F102+I102)/2))</f>
        <v/>
      </c>
      <c r="L102">
        <f>IF(ISBLANK(J102), G102, IF(ISBLANK(G102), J102, (G102+J102)/2))</f>
        <v/>
      </c>
      <c r="M102" t="inlineStr">
        <is>
          <t>2027-06-01</t>
        </is>
      </c>
      <c r="N102" t="n">
        <v>0</v>
      </c>
      <c r="R102" t="inlineStr">
        <is>
          <t>confirmed</t>
        </is>
      </c>
      <c r="S102" t="inlineStr">
        <is>
          <t>confirmed</t>
        </is>
      </c>
      <c r="T102" t="inlineStr">
        <is>
          <t>confirmed</t>
        </is>
      </c>
      <c r="U102" t="inlineStr">
        <is>
          <t>10143</t>
        </is>
      </c>
      <c r="V102" t="inlineStr">
        <is>
          <t>202</t>
        </is>
      </c>
      <c r="X102" t="inlineStr"/>
    </row>
    <row r="103">
      <c r="A103" t="inlineStr">
        <is>
          <t>GPC_58</t>
        </is>
      </c>
      <c r="B103" t="inlineStr">
        <is>
          <t>Georgia Power</t>
        </is>
      </c>
      <c r="C103" t="inlineStr">
        <is>
          <t>GA</t>
        </is>
      </c>
      <c r="D103" t="inlineStr">
        <is>
          <t>LAWRENCEVILLE - WINDER PRIMARY 230KV LINE REBUILD</t>
        </is>
      </c>
      <c r="E103" t="inlineStr">
        <is>
          <t>LAWRENCEVILLE</t>
        </is>
      </c>
      <c r="F103" t="n">
        <v>33.9581487</v>
      </c>
      <c r="G103" t="n">
        <v>-84.01987920000001</v>
      </c>
      <c r="H103" t="inlineStr">
        <is>
          <t>WINDER PRIMARY</t>
        </is>
      </c>
      <c r="I103" t="n">
        <v>33.9954594</v>
      </c>
      <c r="J103" t="n">
        <v>-83.7531307</v>
      </c>
      <c r="K103">
        <f>IF(ISBLANK(I103), F103, IF(ISBLANK(F103), I103, (F103+I103)/2))</f>
        <v/>
      </c>
      <c r="L103">
        <f>IF(ISBLANK(J103), G103, IF(ISBLANK(G103), J103, (G103+J103)/2))</f>
        <v/>
      </c>
      <c r="M103" t="inlineStr">
        <is>
          <t>2027-06-01</t>
        </is>
      </c>
      <c r="N103" t="n">
        <v>0</v>
      </c>
      <c r="R103" t="inlineStr">
        <is>
          <t>confirmed</t>
        </is>
      </c>
      <c r="S103" t="inlineStr">
        <is>
          <t>confirmed</t>
        </is>
      </c>
      <c r="T103" t="inlineStr">
        <is>
          <t>confirmed</t>
        </is>
      </c>
      <c r="U103" t="inlineStr">
        <is>
          <t>10481</t>
        </is>
      </c>
      <c r="V103" t="inlineStr">
        <is>
          <t>202</t>
        </is>
      </c>
      <c r="X103" t="inlineStr"/>
    </row>
    <row r="104">
      <c r="A104" t="inlineStr">
        <is>
          <t>GPC_59</t>
        </is>
      </c>
      <c r="B104" t="inlineStr">
        <is>
          <t>Georgia Power</t>
        </is>
      </c>
      <c r="C104" t="inlineStr">
        <is>
          <t>GA</t>
        </is>
      </c>
      <c r="D104" t="inlineStr">
        <is>
          <t>SANDERSVILLE #1 - WADLEY PRI. 115KV REBUILD/RECONDUCTOR</t>
        </is>
      </c>
      <c r="E104" t="inlineStr">
        <is>
          <t>SANDERSVILLE #1</t>
        </is>
      </c>
      <c r="F104" t="n">
        <v>33.0018214</v>
      </c>
      <c r="G104" t="n">
        <v>-82.83272909999999</v>
      </c>
      <c r="H104" t="inlineStr">
        <is>
          <t>WADLEY PRI.</t>
        </is>
      </c>
      <c r="I104" t="n">
        <v>32.8846571</v>
      </c>
      <c r="J104" t="n">
        <v>-82.4158724</v>
      </c>
      <c r="K104">
        <f>IF(ISBLANK(I104), F104, IF(ISBLANK(F104), I104, (F104+I104)/2))</f>
        <v/>
      </c>
      <c r="L104">
        <f>IF(ISBLANK(J104), G104, IF(ISBLANK(G104), J104, (G104+J104)/2))</f>
        <v/>
      </c>
      <c r="M104" t="inlineStr">
        <is>
          <t>2027-06-01</t>
        </is>
      </c>
      <c r="N104" t="n">
        <v>0</v>
      </c>
      <c r="R104" t="inlineStr">
        <is>
          <t>low_confidence</t>
        </is>
      </c>
      <c r="S104" t="inlineStr">
        <is>
          <t>low_confidence</t>
        </is>
      </c>
      <c r="T104" t="inlineStr">
        <is>
          <t>confirmed</t>
        </is>
      </c>
      <c r="U104" t="inlineStr">
        <is>
          <t>19248</t>
        </is>
      </c>
      <c r="V104" t="inlineStr">
        <is>
          <t>214</t>
        </is>
      </c>
      <c r="X104" t="inlineStr"/>
    </row>
    <row r="105">
      <c r="A105" t="inlineStr">
        <is>
          <t>GPC_60</t>
        </is>
      </c>
      <c r="B105" t="inlineStr">
        <is>
          <t>Georgia Power</t>
        </is>
      </c>
      <c r="C105" t="inlineStr">
        <is>
          <t>GA</t>
        </is>
      </c>
      <c r="D105" t="inlineStr">
        <is>
          <t>SAV: GOSHEN (SAV) - KRAFT 115KV LINE REBUILD</t>
        </is>
      </c>
      <c r="E105" t="inlineStr">
        <is>
          <t>GOSHEN (SAV)</t>
        </is>
      </c>
      <c r="F105" t="n">
        <v>32.248701</v>
      </c>
      <c r="G105" t="n">
        <v>-81.20947200000001</v>
      </c>
      <c r="H105" t="inlineStr">
        <is>
          <t>KRAFT</t>
        </is>
      </c>
      <c r="I105" t="n">
        <v>32.1481353</v>
      </c>
      <c r="J105" t="n">
        <v>-81.1459835</v>
      </c>
      <c r="K105">
        <f>IF(ISBLANK(I105), F105, IF(ISBLANK(F105), I105, (F105+I105)/2))</f>
        <v/>
      </c>
      <c r="L105">
        <f>IF(ISBLANK(J105), G105, IF(ISBLANK(G105), J105, (G105+J105)/2))</f>
        <v/>
      </c>
      <c r="M105" t="inlineStr">
        <is>
          <t>2027-06-01</t>
        </is>
      </c>
      <c r="N105" t="n">
        <v>2</v>
      </c>
      <c r="O105" t="inlineStr">
        <is>
          <t>DESC_23</t>
        </is>
      </c>
      <c r="P105" t="inlineStr">
        <is>
          <t>DESC_10</t>
        </is>
      </c>
      <c r="R105" t="inlineStr">
        <is>
          <t>confirmed</t>
        </is>
      </c>
      <c r="S105" t="inlineStr">
        <is>
          <t>confirmed</t>
        </is>
      </c>
      <c r="T105" t="inlineStr">
        <is>
          <t>confirmed</t>
        </is>
      </c>
      <c r="U105" t="inlineStr">
        <is>
          <t>20785</t>
        </is>
      </c>
      <c r="V105" t="inlineStr">
        <is>
          <t>219</t>
        </is>
      </c>
      <c r="X105" t="inlineStr"/>
    </row>
    <row r="106">
      <c r="A106" t="inlineStr">
        <is>
          <t>GPC_61</t>
        </is>
      </c>
      <c r="B106" t="inlineStr">
        <is>
          <t>Georgia Power</t>
        </is>
      </c>
      <c r="C106" t="inlineStr">
        <is>
          <t>GA</t>
        </is>
      </c>
      <c r="D106" t="inlineStr">
        <is>
          <t>SAV: GOSHEN (SAV) - MCINTOSH 115KV LINE REBUILD</t>
        </is>
      </c>
      <c r="E106" t="inlineStr">
        <is>
          <t>GOSHEN (SAV)</t>
        </is>
      </c>
      <c r="F106" t="n">
        <v>32.248701</v>
      </c>
      <c r="G106" t="n">
        <v>-81.20947200000001</v>
      </c>
      <c r="H106" t="inlineStr">
        <is>
          <t>MCINTOSH</t>
        </is>
      </c>
      <c r="I106" t="n">
        <v>32.352116</v>
      </c>
      <c r="J106" t="n">
        <v>-81.175112</v>
      </c>
      <c r="K106">
        <f>IF(ISBLANK(I106), F106, IF(ISBLANK(F106), I106, (F106+I106)/2))</f>
        <v/>
      </c>
      <c r="L106">
        <f>IF(ISBLANK(J106), G106, IF(ISBLANK(G106), J106, (G106+J106)/2))</f>
        <v/>
      </c>
      <c r="M106" t="inlineStr">
        <is>
          <t>2027-06-01</t>
        </is>
      </c>
      <c r="N106" t="n">
        <v>3</v>
      </c>
      <c r="O106" t="inlineStr">
        <is>
          <t>DESC_23</t>
        </is>
      </c>
      <c r="P106" t="inlineStr">
        <is>
          <t>DESC_10</t>
        </is>
      </c>
      <c r="Q106" t="inlineStr">
        <is>
          <t>DESC_3</t>
        </is>
      </c>
      <c r="R106" t="inlineStr">
        <is>
          <t>confirmed</t>
        </is>
      </c>
      <c r="S106" t="inlineStr">
        <is>
          <t>confirmed</t>
        </is>
      </c>
      <c r="T106" t="inlineStr">
        <is>
          <t>confirmed</t>
        </is>
      </c>
      <c r="U106" t="inlineStr">
        <is>
          <t>20065</t>
        </is>
      </c>
      <c r="V106" t="inlineStr">
        <is>
          <t>219</t>
        </is>
      </c>
      <c r="X106" t="inlineStr"/>
    </row>
    <row r="107">
      <c r="A107" t="inlineStr">
        <is>
          <t>GPC_62</t>
        </is>
      </c>
      <c r="B107" t="inlineStr">
        <is>
          <t>Georgia Power</t>
        </is>
      </c>
      <c r="C107" t="inlineStr">
        <is>
          <t>GA</t>
        </is>
      </c>
      <c r="D107" t="inlineStr">
        <is>
          <t>CC - TOMOCHICHI 500/230KV SOLUTION (CC NETWORK IMPROVEMENTS)</t>
        </is>
      </c>
      <c r="E107" t="inlineStr">
        <is>
          <t>TOMOCHICHI SOLUTION (CC NETWORK IMPROVEMENTS)</t>
        </is>
      </c>
      <c r="K107">
        <f>IF(ISBLANK(I107), F107, IF(ISBLANK(F107), I107, (F107+I107)/2))</f>
        <v/>
      </c>
      <c r="L107">
        <f>IF(ISBLANK(J107), G107, IF(ISBLANK(G107), J107, (G107+J107)/2))</f>
        <v/>
      </c>
      <c r="M107" t="inlineStr">
        <is>
          <t>2027-07-15</t>
        </is>
      </c>
      <c r="N107" t="n">
        <v>0</v>
      </c>
      <c r="R107" t="inlineStr">
        <is>
          <t>unlocated</t>
        </is>
      </c>
      <c r="S107" t="inlineStr">
        <is>
          <t>unlocated</t>
        </is>
      </c>
      <c r="U107" t="inlineStr">
        <is>
          <t>20717</t>
        </is>
      </c>
      <c r="V107" t="inlineStr">
        <is>
          <t>208</t>
        </is>
      </c>
      <c r="X107" t="inlineStr">
        <is>
          <t>no endpoint located</t>
        </is>
      </c>
    </row>
    <row r="108">
      <c r="A108" t="inlineStr">
        <is>
          <t>GPC_63</t>
        </is>
      </c>
      <c r="B108" t="inlineStr">
        <is>
          <t>Georgia Power</t>
        </is>
      </c>
      <c r="C108" t="inlineStr">
        <is>
          <t>GA</t>
        </is>
      </c>
      <c r="D108" t="inlineStr">
        <is>
          <t>GRID - ARKWRIGHT - LLOYD SHOALS 115KV</t>
        </is>
      </c>
      <c r="E108" t="inlineStr">
        <is>
          <t>ARKWRIGHT</t>
        </is>
      </c>
      <c r="F108" t="n">
        <v>32.9272219</v>
      </c>
      <c r="G108" t="n">
        <v>-83.69887799999999</v>
      </c>
      <c r="H108" t="inlineStr">
        <is>
          <t>LLOYD SHOALS</t>
        </is>
      </c>
      <c r="K108">
        <f>IF(ISBLANK(I108), F108, IF(ISBLANK(F108), I108, (F108+I108)/2))</f>
        <v/>
      </c>
      <c r="L108">
        <f>IF(ISBLANK(J108), G108, IF(ISBLANK(G108), J108, (G108+J108)/2))</f>
        <v/>
      </c>
      <c r="M108" t="inlineStr">
        <is>
          <t>2027-07-30</t>
        </is>
      </c>
      <c r="N108" t="n">
        <v>0</v>
      </c>
      <c r="R108" t="inlineStr">
        <is>
          <t>low_confidence</t>
        </is>
      </c>
      <c r="S108" t="inlineStr">
        <is>
          <t>low_confidence</t>
        </is>
      </c>
      <c r="T108" t="inlineStr">
        <is>
          <t>unlocated</t>
        </is>
      </c>
      <c r="U108" t="inlineStr">
        <is>
          <t>18573</t>
        </is>
      </c>
      <c r="V108" t="inlineStr">
        <is>
          <t>214</t>
        </is>
      </c>
      <c r="X108" t="inlineStr">
        <is>
          <t>1 of 2 endpoints located; center uses the located one(s) only</t>
        </is>
      </c>
    </row>
    <row r="109">
      <c r="A109" t="inlineStr">
        <is>
          <t>GPC_64</t>
        </is>
      </c>
      <c r="B109" t="inlineStr">
        <is>
          <t>Georgia Power</t>
        </is>
      </c>
      <c r="C109" t="inlineStr">
        <is>
          <t>GA</t>
        </is>
      </c>
      <c r="D109" t="inlineStr">
        <is>
          <t>ATHENA - EAST WATKINSVILLE 115 KV (REBUILD)</t>
        </is>
      </c>
      <c r="E109" t="inlineStr">
        <is>
          <t>ATHENA</t>
        </is>
      </c>
      <c r="F109" t="n">
        <v>33.9764031</v>
      </c>
      <c r="G109" t="n">
        <v>-83.34611889999999</v>
      </c>
      <c r="H109" t="inlineStr">
        <is>
          <t>EAST WATKINSVILLE</t>
        </is>
      </c>
      <c r="I109" t="n">
        <v>33.8605463</v>
      </c>
      <c r="J109" t="n">
        <v>-83.38476489999999</v>
      </c>
      <c r="K109">
        <f>IF(ISBLANK(I109), F109, IF(ISBLANK(F109), I109, (F109+I109)/2))</f>
        <v/>
      </c>
      <c r="L109">
        <f>IF(ISBLANK(J109), G109, IF(ISBLANK(G109), J109, (G109+J109)/2))</f>
        <v/>
      </c>
      <c r="M109" t="inlineStr">
        <is>
          <t>2027-12-31</t>
        </is>
      </c>
      <c r="N109" t="n">
        <v>0</v>
      </c>
      <c r="R109" t="inlineStr">
        <is>
          <t>confirmed</t>
        </is>
      </c>
      <c r="S109" t="inlineStr">
        <is>
          <t>confirmed</t>
        </is>
      </c>
      <c r="T109" t="inlineStr">
        <is>
          <t>confirmed</t>
        </is>
      </c>
      <c r="U109" t="inlineStr">
        <is>
          <t>17977</t>
        </is>
      </c>
      <c r="V109" t="inlineStr">
        <is>
          <t>212</t>
        </is>
      </c>
      <c r="X109" t="inlineStr"/>
    </row>
    <row r="110">
      <c r="A110" t="inlineStr">
        <is>
          <t>GPC_65</t>
        </is>
      </c>
      <c r="B110" t="inlineStr">
        <is>
          <t>Georgia Power</t>
        </is>
      </c>
      <c r="C110" t="inlineStr">
        <is>
          <t>GA</t>
        </is>
      </c>
      <c r="D110" t="inlineStr">
        <is>
          <t>CC - HILL VIEW &amp; GRASSY HOLLOW SUB - CC IMPROVEMENTS</t>
        </is>
      </c>
      <c r="E110" t="inlineStr">
        <is>
          <t>HILL VIEW</t>
        </is>
      </c>
      <c r="K110">
        <f>IF(ISBLANK(I110), F110, IF(ISBLANK(F110), I110, (F110+I110)/2))</f>
        <v/>
      </c>
      <c r="L110">
        <f>IF(ISBLANK(J110), G110, IF(ISBLANK(G110), J110, (G110+J110)/2))</f>
        <v/>
      </c>
      <c r="M110" t="inlineStr">
        <is>
          <t>2027-12-31</t>
        </is>
      </c>
      <c r="N110" t="n">
        <v>0</v>
      </c>
      <c r="R110" t="inlineStr">
        <is>
          <t>unlocated</t>
        </is>
      </c>
      <c r="S110" t="inlineStr">
        <is>
          <t>unlocated</t>
        </is>
      </c>
      <c r="U110" t="inlineStr">
        <is>
          <t>20150</t>
        </is>
      </c>
      <c r="V110" t="inlineStr">
        <is>
          <t>211</t>
        </is>
      </c>
      <c r="X110" t="inlineStr">
        <is>
          <t>no endpoint located</t>
        </is>
      </c>
    </row>
    <row r="111">
      <c r="A111" t="inlineStr">
        <is>
          <t>GPC_66</t>
        </is>
      </c>
      <c r="B111" t="inlineStr">
        <is>
          <t>Georgia Power</t>
        </is>
      </c>
      <c r="C111" t="inlineStr">
        <is>
          <t>GA</t>
        </is>
      </c>
      <c r="D111" t="inlineStr">
        <is>
          <t>DYER ROAD - EAST ROANOKE 115KV (REBUILD)</t>
        </is>
      </c>
      <c r="E111" t="inlineStr">
        <is>
          <t>DYER ROAD</t>
        </is>
      </c>
      <c r="H111" t="inlineStr">
        <is>
          <t>EAST ROANOKE</t>
        </is>
      </c>
      <c r="K111">
        <f>IF(ISBLANK(I111), F111, IF(ISBLANK(F111), I111, (F111+I111)/2))</f>
        <v/>
      </c>
      <c r="L111">
        <f>IF(ISBLANK(J111), G111, IF(ISBLANK(G111), J111, (G111+J111)/2))</f>
        <v/>
      </c>
      <c r="M111" t="inlineStr">
        <is>
          <t>2027-12-31</t>
        </is>
      </c>
      <c r="N111" t="n">
        <v>0</v>
      </c>
      <c r="R111" t="inlineStr">
        <is>
          <t>unlocated</t>
        </is>
      </c>
      <c r="S111" t="inlineStr">
        <is>
          <t>unlocated</t>
        </is>
      </c>
      <c r="T111" t="inlineStr">
        <is>
          <t>unlocated</t>
        </is>
      </c>
      <c r="U111" t="inlineStr">
        <is>
          <t>20024</t>
        </is>
      </c>
      <c r="V111" t="inlineStr">
        <is>
          <t>211</t>
        </is>
      </c>
      <c r="X111" t="inlineStr">
        <is>
          <t>no endpoint located</t>
        </is>
      </c>
    </row>
    <row r="112">
      <c r="A112" t="inlineStr">
        <is>
          <t>GPC_67</t>
        </is>
      </c>
      <c r="B112" t="inlineStr">
        <is>
          <t>Georgia Power</t>
        </is>
      </c>
      <c r="C112" t="inlineStr">
        <is>
          <t>GA</t>
        </is>
      </c>
      <c r="D112" t="inlineStr">
        <is>
          <t>AULTMAN ROAD-PERRY 115KV LINE REBUILD</t>
        </is>
      </c>
      <c r="E112" t="inlineStr">
        <is>
          <t>AULTMAN ROAD</t>
        </is>
      </c>
      <c r="H112" t="inlineStr">
        <is>
          <t>PERRY</t>
        </is>
      </c>
      <c r="I112" t="n">
        <v>32.4553814</v>
      </c>
      <c r="J112" t="n">
        <v>-83.7020208</v>
      </c>
      <c r="K112">
        <f>IF(ISBLANK(I112), F112, IF(ISBLANK(F112), I112, (F112+I112)/2))</f>
        <v/>
      </c>
      <c r="L112">
        <f>IF(ISBLANK(J112), G112, IF(ISBLANK(G112), J112, (G112+J112)/2))</f>
        <v/>
      </c>
      <c r="M112" t="inlineStr">
        <is>
          <t>2028-06-01</t>
        </is>
      </c>
      <c r="N112" t="n">
        <v>0</v>
      </c>
      <c r="R112" t="inlineStr">
        <is>
          <t>confirmed</t>
        </is>
      </c>
      <c r="S112" t="inlineStr">
        <is>
          <t>unlocated</t>
        </is>
      </c>
      <c r="T112" t="inlineStr">
        <is>
          <t>confirmed</t>
        </is>
      </c>
      <c r="U112" t="inlineStr">
        <is>
          <t>19997</t>
        </is>
      </c>
      <c r="V112" t="inlineStr">
        <is>
          <t>214</t>
        </is>
      </c>
      <c r="X112" t="inlineStr">
        <is>
          <t>1 of 2 endpoints located; center uses the located one(s) only</t>
        </is>
      </c>
    </row>
    <row r="113">
      <c r="A113" t="inlineStr">
        <is>
          <t>GPC_68</t>
        </is>
      </c>
      <c r="B113" t="inlineStr">
        <is>
          <t>Georgia Power</t>
        </is>
      </c>
      <c r="C113" t="inlineStr">
        <is>
          <t>GA</t>
        </is>
      </c>
      <c r="D113" t="inlineStr">
        <is>
          <t>CC - EAST VILLA RICA AREA SWITCHING STATION (CC IMPROVEMENT)</t>
        </is>
      </c>
      <c r="E113" t="inlineStr">
        <is>
          <t>EAST VILLA RICA AREA SWITCHING STATION (CC IMPROVEMENT)</t>
        </is>
      </c>
      <c r="F113" t="n">
        <v>33.7417954</v>
      </c>
      <c r="G113" t="n">
        <v>-84.9595976</v>
      </c>
      <c r="K113">
        <f>IF(ISBLANK(I113), F113, IF(ISBLANK(F113), I113, (F113+I113)/2))</f>
        <v/>
      </c>
      <c r="L113">
        <f>IF(ISBLANK(J113), G113, IF(ISBLANK(G113), J113, (G113+J113)/2))</f>
        <v/>
      </c>
      <c r="M113" t="inlineStr">
        <is>
          <t>2028-06-01</t>
        </is>
      </c>
      <c r="N113" t="n">
        <v>0</v>
      </c>
      <c r="R113" t="inlineStr">
        <is>
          <t>low_confidence</t>
        </is>
      </c>
      <c r="S113" t="inlineStr">
        <is>
          <t>low_confidence</t>
        </is>
      </c>
      <c r="U113" t="inlineStr">
        <is>
          <t>20797</t>
        </is>
      </c>
      <c r="V113" t="inlineStr">
        <is>
          <t>201</t>
        </is>
      </c>
      <c r="X113" t="inlineStr"/>
    </row>
    <row r="114">
      <c r="A114" t="inlineStr">
        <is>
          <t>GPC_69</t>
        </is>
      </c>
      <c r="B114" t="inlineStr">
        <is>
          <t>Georgia Power</t>
        </is>
      </c>
      <c r="C114" t="inlineStr">
        <is>
          <t>GA</t>
        </is>
      </c>
      <c r="D114" t="inlineStr">
        <is>
          <t>CC - VILLA RICA UPGRADES (CC NETWORK IMPROVEMENTS)</t>
        </is>
      </c>
      <c r="E114" t="inlineStr">
        <is>
          <t>VILLA RICA UPGRADES (CC NETWORK IMPROVEMENTS)</t>
        </is>
      </c>
      <c r="F114" t="n">
        <v>33.7410224</v>
      </c>
      <c r="G114" t="n">
        <v>-84.85486520000001</v>
      </c>
      <c r="K114">
        <f>IF(ISBLANK(I114), F114, IF(ISBLANK(F114), I114, (F114+I114)/2))</f>
        <v/>
      </c>
      <c r="L114">
        <f>IF(ISBLANK(J114), G114, IF(ISBLANK(G114), J114, (G114+J114)/2))</f>
        <v/>
      </c>
      <c r="M114" t="inlineStr">
        <is>
          <t>2028-06-01</t>
        </is>
      </c>
      <c r="N114" t="n">
        <v>0</v>
      </c>
      <c r="R114" t="inlineStr">
        <is>
          <t>confirmed</t>
        </is>
      </c>
      <c r="S114" t="inlineStr">
        <is>
          <t>confirmed</t>
        </is>
      </c>
      <c r="U114" t="inlineStr">
        <is>
          <t>20774</t>
        </is>
      </c>
      <c r="V114" t="inlineStr">
        <is>
          <t>211</t>
        </is>
      </c>
      <c r="X114" t="inlineStr"/>
    </row>
    <row r="115">
      <c r="A115" t="inlineStr">
        <is>
          <t>GPC_70</t>
        </is>
      </c>
      <c r="B115" t="inlineStr">
        <is>
          <t>Georgia Power</t>
        </is>
      </c>
      <c r="C115" t="inlineStr">
        <is>
          <t>GA</t>
        </is>
      </c>
      <c r="D115" t="inlineStr">
        <is>
          <t>FITZGERALD - PITTS 115 KV LINE REBUILD</t>
        </is>
      </c>
      <c r="E115" t="inlineStr">
        <is>
          <t>FITZGERALD</t>
        </is>
      </c>
      <c r="H115" t="inlineStr">
        <is>
          <t>PITTS</t>
        </is>
      </c>
      <c r="K115">
        <f>IF(ISBLANK(I115), F115, IF(ISBLANK(F115), I115, (F115+I115)/2))</f>
        <v/>
      </c>
      <c r="L115">
        <f>IF(ISBLANK(J115), G115, IF(ISBLANK(G115), J115, (G115+J115)/2))</f>
        <v/>
      </c>
      <c r="M115" t="inlineStr">
        <is>
          <t>2028-06-01</t>
        </is>
      </c>
      <c r="N115" t="n">
        <v>0</v>
      </c>
      <c r="R115" t="inlineStr">
        <is>
          <t>unlocated</t>
        </is>
      </c>
      <c r="S115" t="inlineStr">
        <is>
          <t>rejected</t>
        </is>
      </c>
      <c r="T115" t="inlineStr">
        <is>
          <t>rejected</t>
        </is>
      </c>
      <c r="U115" t="inlineStr">
        <is>
          <t>21048</t>
        </is>
      </c>
      <c r="V115" t="inlineStr">
        <is>
          <t>214</t>
        </is>
      </c>
      <c r="X115" t="inlineStr">
        <is>
          <t>no endpoint located</t>
        </is>
      </c>
    </row>
    <row r="116">
      <c r="A116" t="inlineStr">
        <is>
          <t>GPC_71</t>
        </is>
      </c>
      <c r="B116" t="inlineStr">
        <is>
          <t>Georgia Power</t>
        </is>
      </c>
      <c r="C116" t="inlineStr">
        <is>
          <t>GA</t>
        </is>
      </c>
      <c r="D116" t="inlineStr">
        <is>
          <t>JACK MCDONOUGH - NORTHWEST (BLACK) 230KV RECONDUCTOR</t>
        </is>
      </c>
      <c r="E116" t="inlineStr">
        <is>
          <t>JACK MCDONOUGH</t>
        </is>
      </c>
      <c r="H116" t="inlineStr">
        <is>
          <t>NORTHWEST (BLACK)</t>
        </is>
      </c>
      <c r="K116">
        <f>IF(ISBLANK(I116), F116, IF(ISBLANK(F116), I116, (F116+I116)/2))</f>
        <v/>
      </c>
      <c r="L116">
        <f>IF(ISBLANK(J116), G116, IF(ISBLANK(G116), J116, (G116+J116)/2))</f>
        <v/>
      </c>
      <c r="M116" t="inlineStr">
        <is>
          <t>2028-06-01</t>
        </is>
      </c>
      <c r="N116" t="n">
        <v>0</v>
      </c>
      <c r="R116" t="inlineStr">
        <is>
          <t>unlocated</t>
        </is>
      </c>
      <c r="S116" t="inlineStr">
        <is>
          <t>unlocated</t>
        </is>
      </c>
      <c r="T116" t="inlineStr">
        <is>
          <t>unlocated</t>
        </is>
      </c>
      <c r="U116" t="inlineStr">
        <is>
          <t>20777</t>
        </is>
      </c>
      <c r="V116" t="inlineStr">
        <is>
          <t>206</t>
        </is>
      </c>
      <c r="X116" t="inlineStr">
        <is>
          <t>no endpoint located</t>
        </is>
      </c>
    </row>
    <row r="117">
      <c r="A117" t="inlineStr">
        <is>
          <t>GPC_72</t>
        </is>
      </c>
      <c r="B117" t="inlineStr">
        <is>
          <t>Georgia Power</t>
        </is>
      </c>
      <c r="C117" t="inlineStr">
        <is>
          <t>GA</t>
        </is>
      </c>
      <c r="D117" t="inlineStr">
        <is>
          <t>PITTMAN ROAD - WEST POINT DAM (USA) 115KV REBUILD</t>
        </is>
      </c>
      <c r="E117" t="inlineStr">
        <is>
          <t>PITTMAN ROAD</t>
        </is>
      </c>
      <c r="H117" t="inlineStr">
        <is>
          <t>WEST POINT DAM (USA)</t>
        </is>
      </c>
      <c r="I117" t="n">
        <v>32.9186235</v>
      </c>
      <c r="J117" t="n">
        <v>-85.1903899</v>
      </c>
      <c r="K117">
        <f>IF(ISBLANK(I117), F117, IF(ISBLANK(F117), I117, (F117+I117)/2))</f>
        <v/>
      </c>
      <c r="L117">
        <f>IF(ISBLANK(J117), G117, IF(ISBLANK(G117), J117, (G117+J117)/2))</f>
        <v/>
      </c>
      <c r="M117" t="inlineStr">
        <is>
          <t>2028-06-01</t>
        </is>
      </c>
      <c r="N117" t="n">
        <v>0</v>
      </c>
      <c r="R117" t="inlineStr">
        <is>
          <t>low_confidence</t>
        </is>
      </c>
      <c r="S117" t="inlineStr">
        <is>
          <t>unlocated</t>
        </is>
      </c>
      <c r="T117" t="inlineStr">
        <is>
          <t>low_confidence</t>
        </is>
      </c>
      <c r="U117" t="inlineStr">
        <is>
          <t>20482</t>
        </is>
      </c>
      <c r="V117" t="inlineStr">
        <is>
          <t>213</t>
        </is>
      </c>
      <c r="X117" t="inlineStr">
        <is>
          <t>1 of 2 endpoints located; center uses the located one(s) only</t>
        </is>
      </c>
    </row>
    <row r="118">
      <c r="A118" t="inlineStr">
        <is>
          <t>GPC_73</t>
        </is>
      </c>
      <c r="B118" t="inlineStr">
        <is>
          <t>Georgia Power</t>
        </is>
      </c>
      <c r="C118" t="inlineStr">
        <is>
          <t>GA</t>
        </is>
      </c>
      <c r="D118" t="inlineStr">
        <is>
          <t>PLANT YATES BREAKER AND HALF STATION</t>
        </is>
      </c>
      <c r="E118" t="inlineStr">
        <is>
          <t>PLANT YATES BREAKER AND HALF STATION</t>
        </is>
      </c>
      <c r="F118" t="n">
        <v>33.463447</v>
      </c>
      <c r="G118" t="n">
        <v>-84.89493849999999</v>
      </c>
      <c r="K118">
        <f>IF(ISBLANK(I118), F118, IF(ISBLANK(F118), I118, (F118+I118)/2))</f>
        <v/>
      </c>
      <c r="L118">
        <f>IF(ISBLANK(J118), G118, IF(ISBLANK(G118), J118, (G118+J118)/2))</f>
        <v/>
      </c>
      <c r="M118" t="inlineStr">
        <is>
          <t>2028-06-01</t>
        </is>
      </c>
      <c r="N118" t="n">
        <v>0</v>
      </c>
      <c r="R118" t="inlineStr">
        <is>
          <t>low_confidence</t>
        </is>
      </c>
      <c r="S118" t="inlineStr">
        <is>
          <t>low_confidence</t>
        </is>
      </c>
      <c r="U118" t="inlineStr">
        <is>
          <t>20656</t>
        </is>
      </c>
      <c r="V118" t="inlineStr">
        <is>
          <t>208</t>
        </is>
      </c>
      <c r="X118" t="inlineStr"/>
    </row>
    <row r="119">
      <c r="A119" t="inlineStr">
        <is>
          <t>GPC_74</t>
        </is>
      </c>
      <c r="B119" t="inlineStr">
        <is>
          <t>Georgia Power</t>
        </is>
      </c>
      <c r="C119" t="inlineStr">
        <is>
          <t>GA</t>
        </is>
      </c>
      <c r="D119" t="inlineStr">
        <is>
          <t>SAV: COLEMAN - DEAN FOREST 115KV LINE REBUILD</t>
        </is>
      </c>
      <c r="E119" t="inlineStr">
        <is>
          <t>COLEMAN</t>
        </is>
      </c>
      <c r="F119" t="n">
        <v>32.0973197</v>
      </c>
      <c r="G119" t="n">
        <v>-81.116077</v>
      </c>
      <c r="H119" t="inlineStr">
        <is>
          <t>DEAN FOREST</t>
        </is>
      </c>
      <c r="I119" t="n">
        <v>32.0835097</v>
      </c>
      <c r="J119" t="n">
        <v>-81.18872229999999</v>
      </c>
      <c r="K119">
        <f>IF(ISBLANK(I119), F119, IF(ISBLANK(F119), I119, (F119+I119)/2))</f>
        <v/>
      </c>
      <c r="L119">
        <f>IF(ISBLANK(J119), G119, IF(ISBLANK(G119), J119, (G119+J119)/2))</f>
        <v/>
      </c>
      <c r="M119" t="inlineStr">
        <is>
          <t>2028-06-01</t>
        </is>
      </c>
      <c r="N119" t="n">
        <v>2</v>
      </c>
      <c r="O119" t="inlineStr">
        <is>
          <t>DESC_23</t>
        </is>
      </c>
      <c r="P119" t="inlineStr">
        <is>
          <t>DESC_10</t>
        </is>
      </c>
      <c r="R119" t="inlineStr">
        <is>
          <t>confirmed</t>
        </is>
      </c>
      <c r="S119" t="inlineStr">
        <is>
          <t>confirmed</t>
        </is>
      </c>
      <c r="T119" t="inlineStr">
        <is>
          <t>confirmed</t>
        </is>
      </c>
      <c r="U119" t="inlineStr">
        <is>
          <t>20783</t>
        </is>
      </c>
      <c r="V119" t="inlineStr">
        <is>
          <t>219</t>
        </is>
      </c>
      <c r="X119" t="inlineStr"/>
    </row>
    <row r="120">
      <c r="A120" t="inlineStr">
        <is>
          <t>GPC_75</t>
        </is>
      </c>
      <c r="B120" t="inlineStr">
        <is>
          <t>Georgia Power</t>
        </is>
      </c>
      <c r="C120" t="inlineStr">
        <is>
          <t>GA</t>
        </is>
      </c>
      <c r="D120" t="inlineStr">
        <is>
          <t>SAV: MAGNOLIA - TRUMAN PARKWAY 115KV REBUILD</t>
        </is>
      </c>
      <c r="E120" t="inlineStr">
        <is>
          <t>MAGNOLIA</t>
        </is>
      </c>
      <c r="F120" t="n">
        <v>32.0226869</v>
      </c>
      <c r="G120" t="n">
        <v>-81.0861807</v>
      </c>
      <c r="H120" t="inlineStr">
        <is>
          <t>TRUMAN PARKWAY</t>
        </is>
      </c>
      <c r="K120">
        <f>IF(ISBLANK(I120), F120, IF(ISBLANK(F120), I120, (F120+I120)/2))</f>
        <v/>
      </c>
      <c r="L120">
        <f>IF(ISBLANK(J120), G120, IF(ISBLANK(G120), J120, (G120+J120)/2))</f>
        <v/>
      </c>
      <c r="M120" t="inlineStr">
        <is>
          <t>2028-06-01</t>
        </is>
      </c>
      <c r="N120" t="n">
        <v>2</v>
      </c>
      <c r="O120" t="inlineStr">
        <is>
          <t>DESC_10</t>
        </is>
      </c>
      <c r="P120" t="inlineStr">
        <is>
          <t>DESC_23</t>
        </is>
      </c>
      <c r="R120" t="inlineStr">
        <is>
          <t>confirmed</t>
        </is>
      </c>
      <c r="S120" t="inlineStr">
        <is>
          <t>confirmed</t>
        </is>
      </c>
      <c r="T120" t="inlineStr">
        <is>
          <t>unlocated</t>
        </is>
      </c>
      <c r="U120" t="inlineStr">
        <is>
          <t>20407</t>
        </is>
      </c>
      <c r="V120" t="inlineStr">
        <is>
          <t>219</t>
        </is>
      </c>
      <c r="X120" t="inlineStr">
        <is>
          <t>1 of 2 endpoints located; center uses the located one(s) only</t>
        </is>
      </c>
    </row>
    <row r="121">
      <c r="A121" t="inlineStr">
        <is>
          <t>GPC_76</t>
        </is>
      </c>
      <c r="B121" t="inlineStr">
        <is>
          <t>Georgia Power</t>
        </is>
      </c>
      <c r="C121" t="inlineStr">
        <is>
          <t>GA</t>
        </is>
      </c>
      <c r="D121" t="inlineStr">
        <is>
          <t>SMART VALVES AT EAST VILLA RICA SWITCHING STATION</t>
        </is>
      </c>
      <c r="K121">
        <f>IF(ISBLANK(I121), F121, IF(ISBLANK(F121), I121, (F121+I121)/2))</f>
        <v/>
      </c>
      <c r="L121">
        <f>IF(ISBLANK(J121), G121, IF(ISBLANK(G121), J121, (G121+J121)/2))</f>
        <v/>
      </c>
      <c r="M121" t="inlineStr">
        <is>
          <t>2028-06-01</t>
        </is>
      </c>
      <c r="N121" t="n">
        <v>0</v>
      </c>
      <c r="R121" t="inlineStr">
        <is>
          <t>unlocated</t>
        </is>
      </c>
      <c r="U121" t="inlineStr">
        <is>
          <t>21069</t>
        </is>
      </c>
      <c r="V121" t="inlineStr">
        <is>
          <t>201</t>
        </is>
      </c>
      <c r="X121" t="inlineStr">
        <is>
          <t>no endpoint located</t>
        </is>
      </c>
    </row>
    <row r="122">
      <c r="A122" t="inlineStr">
        <is>
          <t>GPC_77</t>
        </is>
      </c>
      <c r="B122" t="inlineStr">
        <is>
          <t>Georgia Power</t>
        </is>
      </c>
      <c r="C122" t="inlineStr">
        <is>
          <t>GA</t>
        </is>
      </c>
      <c r="D122" t="inlineStr">
        <is>
          <t>SOUTH MACON 115KV BUSES 1 &amp; 2 REPLACEMENT</t>
        </is>
      </c>
      <c r="E122" t="inlineStr">
        <is>
          <t>SOUTH MACON</t>
        </is>
      </c>
      <c r="F122" t="n">
        <v>32.8203492</v>
      </c>
      <c r="G122" t="n">
        <v>-83.6261978</v>
      </c>
      <c r="K122">
        <f>IF(ISBLANK(I122), F122, IF(ISBLANK(F122), I122, (F122+I122)/2))</f>
        <v/>
      </c>
      <c r="L122">
        <f>IF(ISBLANK(J122), G122, IF(ISBLANK(G122), J122, (G122+J122)/2))</f>
        <v/>
      </c>
      <c r="M122" t="inlineStr">
        <is>
          <t>2028-06-01</t>
        </is>
      </c>
      <c r="N122" t="n">
        <v>0</v>
      </c>
      <c r="R122" t="inlineStr">
        <is>
          <t>confirmed</t>
        </is>
      </c>
      <c r="S122" t="inlineStr">
        <is>
          <t>confirmed</t>
        </is>
      </c>
      <c r="U122" t="inlineStr">
        <is>
          <t>20768</t>
        </is>
      </c>
      <c r="V122" t="inlineStr">
        <is>
          <t>214</t>
        </is>
      </c>
      <c r="X122" t="inlineStr"/>
    </row>
    <row r="123">
      <c r="A123" t="inlineStr">
        <is>
          <t>GPC_78</t>
        </is>
      </c>
      <c r="B123" t="inlineStr">
        <is>
          <t>Georgia Power</t>
        </is>
      </c>
      <c r="C123" t="inlineStr">
        <is>
          <t>GA</t>
        </is>
      </c>
      <c r="D123" t="inlineStr">
        <is>
          <t>UNION CITY - YATES 230KV (BLACK) LINE REBUILD</t>
        </is>
      </c>
      <c r="E123" t="inlineStr">
        <is>
          <t>UNION CITY</t>
        </is>
      </c>
      <c r="F123" t="n">
        <v>33.5870558</v>
      </c>
      <c r="G123" t="n">
        <v>-84.5424299</v>
      </c>
      <c r="H123" t="inlineStr">
        <is>
          <t>YATES</t>
        </is>
      </c>
      <c r="I123" t="n">
        <v>33.463447</v>
      </c>
      <c r="J123" t="n">
        <v>-84.89493849999999</v>
      </c>
      <c r="K123">
        <f>IF(ISBLANK(I123), F123, IF(ISBLANK(F123), I123, (F123+I123)/2))</f>
        <v/>
      </c>
      <c r="L123">
        <f>IF(ISBLANK(J123), G123, IF(ISBLANK(G123), J123, (G123+J123)/2))</f>
        <v/>
      </c>
      <c r="M123" t="inlineStr">
        <is>
          <t>2028-06-01</t>
        </is>
      </c>
      <c r="N123" t="n">
        <v>0</v>
      </c>
      <c r="R123" t="inlineStr">
        <is>
          <t>low_confidence</t>
        </is>
      </c>
      <c r="S123" t="inlineStr">
        <is>
          <t>low_confidence</t>
        </is>
      </c>
      <c r="T123" t="inlineStr">
        <is>
          <t>low_confidence</t>
        </is>
      </c>
      <c r="U123" t="inlineStr">
        <is>
          <t>20274</t>
        </is>
      </c>
      <c r="V123" t="inlineStr">
        <is>
          <t>208</t>
        </is>
      </c>
      <c r="X123" t="inlineStr"/>
    </row>
    <row r="124">
      <c r="A124" t="inlineStr">
        <is>
          <t>GPC_79</t>
        </is>
      </c>
      <c r="B124" t="inlineStr">
        <is>
          <t>Georgia Power</t>
        </is>
      </c>
      <c r="C124" t="inlineStr">
        <is>
          <t>GA</t>
        </is>
      </c>
      <c r="D124" t="inlineStr">
        <is>
          <t>FIRST AVENUE - NORTH COLUMBUS 115KV LINE REBUILD</t>
        </is>
      </c>
      <c r="E124" t="inlineStr">
        <is>
          <t>FIRST AVENUE</t>
        </is>
      </c>
      <c r="H124" t="inlineStr">
        <is>
          <t>NORTH COLUMBUS</t>
        </is>
      </c>
      <c r="K124">
        <f>IF(ISBLANK(I124), F124, IF(ISBLANK(F124), I124, (F124+I124)/2))</f>
        <v/>
      </c>
      <c r="L124">
        <f>IF(ISBLANK(J124), G124, IF(ISBLANK(G124), J124, (G124+J124)/2))</f>
        <v/>
      </c>
      <c r="M124" t="inlineStr">
        <is>
          <t>2028-12-01</t>
        </is>
      </c>
      <c r="N124" t="n">
        <v>0</v>
      </c>
      <c r="R124" t="inlineStr">
        <is>
          <t>unlocated</t>
        </is>
      </c>
      <c r="S124" t="inlineStr">
        <is>
          <t>unlocated</t>
        </is>
      </c>
      <c r="T124" t="inlineStr">
        <is>
          <t>unlocated</t>
        </is>
      </c>
      <c r="U124" t="inlineStr">
        <is>
          <t>13166</t>
        </is>
      </c>
      <c r="V124" t="inlineStr">
        <is>
          <t>213</t>
        </is>
      </c>
      <c r="X124" t="inlineStr">
        <is>
          <t>no endpoint located</t>
        </is>
      </c>
    </row>
    <row r="125">
      <c r="A125" t="inlineStr">
        <is>
          <t>GPC_80</t>
        </is>
      </c>
      <c r="B125" t="inlineStr">
        <is>
          <t>Georgia Power</t>
        </is>
      </c>
      <c r="C125" t="inlineStr">
        <is>
          <t>GA</t>
        </is>
      </c>
      <c r="D125" t="inlineStr">
        <is>
          <t>ASHLEY PARK-WANSLEY 500KV</t>
        </is>
      </c>
      <c r="E125" t="inlineStr">
        <is>
          <t>ASHLEY PARK</t>
        </is>
      </c>
      <c r="F125" t="n">
        <v>33.5073355</v>
      </c>
      <c r="G125" t="n">
        <v>-84.4768716</v>
      </c>
      <c r="H125" t="inlineStr">
        <is>
          <t>WANSLEY</t>
        </is>
      </c>
      <c r="I125" t="n">
        <v>33.4109556</v>
      </c>
      <c r="J125" t="n">
        <v>-85.03076900000001</v>
      </c>
      <c r="K125">
        <f>IF(ISBLANK(I125), F125, IF(ISBLANK(F125), I125, (F125+I125)/2))</f>
        <v/>
      </c>
      <c r="L125">
        <f>IF(ISBLANK(J125), G125, IF(ISBLANK(G125), J125, (G125+J125)/2))</f>
        <v/>
      </c>
      <c r="M125" t="inlineStr">
        <is>
          <t>2029-06-01</t>
        </is>
      </c>
      <c r="N125" t="n">
        <v>0</v>
      </c>
      <c r="R125" t="inlineStr">
        <is>
          <t>low_confidence</t>
        </is>
      </c>
      <c r="S125" t="inlineStr">
        <is>
          <t>low_confidence</t>
        </is>
      </c>
      <c r="T125" t="inlineStr">
        <is>
          <t>confirmed</t>
        </is>
      </c>
      <c r="U125" t="inlineStr">
        <is>
          <t>21062</t>
        </is>
      </c>
      <c r="V125" t="inlineStr">
        <is>
          <t>208</t>
        </is>
      </c>
      <c r="X125" t="inlineStr"/>
    </row>
    <row r="126">
      <c r="A126" t="inlineStr">
        <is>
          <t>GPC_81</t>
        </is>
      </c>
      <c r="B126" t="inlineStr">
        <is>
          <t>Georgia Power</t>
        </is>
      </c>
      <c r="C126" t="inlineStr">
        <is>
          <t>GA</t>
        </is>
      </c>
      <c r="D126" t="inlineStr">
        <is>
          <t>BLAKELY PRIMARY - HUCKLEBERRY 115KV REBUILD</t>
        </is>
      </c>
      <c r="E126" t="inlineStr">
        <is>
          <t>BLAKELY PRIMARY</t>
        </is>
      </c>
      <c r="F126" t="n">
        <v>31.371554</v>
      </c>
      <c r="G126" t="n">
        <v>-84.9059802</v>
      </c>
      <c r="H126" t="inlineStr">
        <is>
          <t>HUCKLEBERRY</t>
        </is>
      </c>
      <c r="K126">
        <f>IF(ISBLANK(I126), F126, IF(ISBLANK(F126), I126, (F126+I126)/2))</f>
        <v/>
      </c>
      <c r="L126">
        <f>IF(ISBLANK(J126), G126, IF(ISBLANK(G126), J126, (G126+J126)/2))</f>
        <v/>
      </c>
      <c r="M126" t="inlineStr">
        <is>
          <t>2029-06-01</t>
        </is>
      </c>
      <c r="N126" t="n">
        <v>0</v>
      </c>
      <c r="R126" t="inlineStr">
        <is>
          <t>confirmed</t>
        </is>
      </c>
      <c r="S126" t="inlineStr">
        <is>
          <t>confirmed</t>
        </is>
      </c>
      <c r="T126" t="inlineStr">
        <is>
          <t>unlocated</t>
        </is>
      </c>
      <c r="U126" t="inlineStr">
        <is>
          <t>10222</t>
        </is>
      </c>
      <c r="V126" t="inlineStr">
        <is>
          <t>216</t>
        </is>
      </c>
      <c r="X126" t="inlineStr">
        <is>
          <t>1 of 2 endpoints located; center uses the located one(s) only</t>
        </is>
      </c>
    </row>
    <row r="127">
      <c r="A127" t="inlineStr">
        <is>
          <t>GPC_82</t>
        </is>
      </c>
      <c r="B127" t="inlineStr">
        <is>
          <t>Georgia Power</t>
        </is>
      </c>
      <c r="C127" t="inlineStr">
        <is>
          <t>GA</t>
        </is>
      </c>
      <c r="D127" t="inlineStr">
        <is>
          <t>BROADWAY - ECHECONNEE 115 KV LINE REBUILD</t>
        </is>
      </c>
      <c r="E127" t="inlineStr">
        <is>
          <t>BROADWAY</t>
        </is>
      </c>
      <c r="H127" t="inlineStr">
        <is>
          <t>ECHECONNEE</t>
        </is>
      </c>
      <c r="I127" t="n">
        <v>32.6851436</v>
      </c>
      <c r="J127" t="n">
        <v>-83.700462</v>
      </c>
      <c r="K127">
        <f>IF(ISBLANK(I127), F127, IF(ISBLANK(F127), I127, (F127+I127)/2))</f>
        <v/>
      </c>
      <c r="L127">
        <f>IF(ISBLANK(J127), G127, IF(ISBLANK(G127), J127, (G127+J127)/2))</f>
        <v/>
      </c>
      <c r="M127" t="inlineStr">
        <is>
          <t>2029-06-01</t>
        </is>
      </c>
      <c r="N127" t="n">
        <v>0</v>
      </c>
      <c r="R127" t="inlineStr">
        <is>
          <t>low_confidence</t>
        </is>
      </c>
      <c r="S127" t="inlineStr">
        <is>
          <t>unlocated</t>
        </is>
      </c>
      <c r="T127" t="inlineStr">
        <is>
          <t>low_confidence</t>
        </is>
      </c>
      <c r="U127" t="inlineStr">
        <is>
          <t>21047</t>
        </is>
      </c>
      <c r="V127" t="inlineStr">
        <is>
          <t>214</t>
        </is>
      </c>
      <c r="X127" t="inlineStr">
        <is>
          <t>1 of 2 endpoints located; center uses the located one(s) only</t>
        </is>
      </c>
    </row>
    <row r="128">
      <c r="A128" t="inlineStr">
        <is>
          <t>GPC_83</t>
        </is>
      </c>
      <c r="B128" t="inlineStr">
        <is>
          <t>Georgia Power</t>
        </is>
      </c>
      <c r="C128" t="inlineStr">
        <is>
          <t>GA</t>
        </is>
      </c>
      <c r="D128" t="inlineStr">
        <is>
          <t>BUTLER - THOMASTON 230KV LINE CONVERSION</t>
        </is>
      </c>
      <c r="E128" t="inlineStr">
        <is>
          <t>BUTLER</t>
        </is>
      </c>
      <c r="F128" t="n">
        <v>32.5710217</v>
      </c>
      <c r="G128" t="n">
        <v>-84.28972880000001</v>
      </c>
      <c r="H128" t="inlineStr">
        <is>
          <t>THOMASTON</t>
        </is>
      </c>
      <c r="I128" t="n">
        <v>32.8999225</v>
      </c>
      <c r="J128" t="n">
        <v>-84.3125168</v>
      </c>
      <c r="K128">
        <f>IF(ISBLANK(I128), F128, IF(ISBLANK(F128), I128, (F128+I128)/2))</f>
        <v/>
      </c>
      <c r="L128">
        <f>IF(ISBLANK(J128), G128, IF(ISBLANK(G128), J128, (G128+J128)/2))</f>
        <v/>
      </c>
      <c r="M128" t="inlineStr">
        <is>
          <t>2029-06-01</t>
        </is>
      </c>
      <c r="N128" t="n">
        <v>0</v>
      </c>
      <c r="R128" t="inlineStr">
        <is>
          <t>low_confidence</t>
        </is>
      </c>
      <c r="S128" t="inlineStr">
        <is>
          <t>confirmed</t>
        </is>
      </c>
      <c r="T128" t="inlineStr">
        <is>
          <t>low_confidence</t>
        </is>
      </c>
      <c r="U128" t="inlineStr">
        <is>
          <t>16887</t>
        </is>
      </c>
      <c r="V128" t="inlineStr">
        <is>
          <t>213</t>
        </is>
      </c>
      <c r="X128" t="inlineStr"/>
    </row>
    <row r="129">
      <c r="A129" t="inlineStr">
        <is>
          <t>GPC_84</t>
        </is>
      </c>
      <c r="B129" t="inlineStr">
        <is>
          <t>Georgia Power</t>
        </is>
      </c>
      <c r="C129" t="inlineStr">
        <is>
          <t>GA</t>
        </is>
      </c>
      <c r="D129" t="inlineStr">
        <is>
          <t>BUZZARD ROOST - FACTORY SHOALS 230KV NEW LINE</t>
        </is>
      </c>
      <c r="E129" t="inlineStr">
        <is>
          <t>BUZZARD ROOST</t>
        </is>
      </c>
      <c r="H129" t="inlineStr">
        <is>
          <t>FACTORY SHOALS</t>
        </is>
      </c>
      <c r="K129">
        <f>IF(ISBLANK(I129), F129, IF(ISBLANK(F129), I129, (F129+I129)/2))</f>
        <v/>
      </c>
      <c r="L129">
        <f>IF(ISBLANK(J129), G129, IF(ISBLANK(G129), J129, (G129+J129)/2))</f>
        <v/>
      </c>
      <c r="M129" t="inlineStr">
        <is>
          <t>2029-06-01</t>
        </is>
      </c>
      <c r="N129" t="n">
        <v>0</v>
      </c>
      <c r="R129" t="inlineStr">
        <is>
          <t>unlocated</t>
        </is>
      </c>
      <c r="S129" t="inlineStr">
        <is>
          <t>unlocated</t>
        </is>
      </c>
      <c r="T129" t="inlineStr">
        <is>
          <t>unlocated</t>
        </is>
      </c>
      <c r="U129" t="inlineStr">
        <is>
          <t>21036</t>
        </is>
      </c>
      <c r="V129" t="inlineStr">
        <is>
          <t>201</t>
        </is>
      </c>
      <c r="X129" t="inlineStr">
        <is>
          <t>no endpoint located</t>
        </is>
      </c>
    </row>
    <row r="130">
      <c r="A130" t="inlineStr">
        <is>
          <t>GPC_85</t>
        </is>
      </c>
      <c r="B130" t="inlineStr">
        <is>
          <t>Georgia Power</t>
        </is>
      </c>
      <c r="C130" t="inlineStr">
        <is>
          <t>GA</t>
        </is>
      </c>
      <c r="D130" t="inlineStr">
        <is>
          <t>CONYERS - KLONDIKE 230 KV SECOND LINE</t>
        </is>
      </c>
      <c r="E130" t="inlineStr">
        <is>
          <t>CONYERS</t>
        </is>
      </c>
      <c r="F130" t="n">
        <v>33.6676103</v>
      </c>
      <c r="G130" t="n">
        <v>-84.01769040000001</v>
      </c>
      <c r="H130" t="inlineStr">
        <is>
          <t>KLONDIKE</t>
        </is>
      </c>
      <c r="I130" t="n">
        <v>33.6369768</v>
      </c>
      <c r="J130" t="n">
        <v>-84.124487</v>
      </c>
      <c r="K130">
        <f>IF(ISBLANK(I130), F130, IF(ISBLANK(F130), I130, (F130+I130)/2))</f>
        <v/>
      </c>
      <c r="L130">
        <f>IF(ISBLANK(J130), G130, IF(ISBLANK(G130), J130, (G130+J130)/2))</f>
        <v/>
      </c>
      <c r="M130" t="inlineStr">
        <is>
          <t>2029-06-01</t>
        </is>
      </c>
      <c r="N130" t="n">
        <v>0</v>
      </c>
      <c r="R130" t="inlineStr">
        <is>
          <t>low_confidence</t>
        </is>
      </c>
      <c r="S130" t="inlineStr">
        <is>
          <t>low_confidence</t>
        </is>
      </c>
      <c r="T130" t="inlineStr">
        <is>
          <t>confirmed</t>
        </is>
      </c>
      <c r="U130" t="inlineStr">
        <is>
          <t>21142</t>
        </is>
      </c>
      <c r="V130" t="inlineStr">
        <is>
          <t>206</t>
        </is>
      </c>
      <c r="X130" t="inlineStr"/>
    </row>
    <row r="131">
      <c r="A131" t="inlineStr">
        <is>
          <t>GPC_86</t>
        </is>
      </c>
      <c r="B131" t="inlineStr">
        <is>
          <t>Georgia Power</t>
        </is>
      </c>
      <c r="C131" t="inlineStr">
        <is>
          <t>GA</t>
        </is>
      </c>
      <c r="D131" t="inlineStr">
        <is>
          <t>GLENWOOD SPRINGS - PORTERDALE PRIMARY 230KV LINE SWITCH REPL</t>
        </is>
      </c>
      <c r="E131" t="inlineStr">
        <is>
          <t>GLENWOOD SPRINGS</t>
        </is>
      </c>
      <c r="H131" t="inlineStr">
        <is>
          <t>PORTERDALE PRIMARY</t>
        </is>
      </c>
      <c r="I131" t="n">
        <v>33.5751146</v>
      </c>
      <c r="J131" t="n">
        <v>-83.8937954</v>
      </c>
      <c r="K131">
        <f>IF(ISBLANK(I131), F131, IF(ISBLANK(F131), I131, (F131+I131)/2))</f>
        <v/>
      </c>
      <c r="L131">
        <f>IF(ISBLANK(J131), G131, IF(ISBLANK(G131), J131, (G131+J131)/2))</f>
        <v/>
      </c>
      <c r="M131" t="inlineStr">
        <is>
          <t>2029-06-01</t>
        </is>
      </c>
      <c r="N131" t="n">
        <v>0</v>
      </c>
      <c r="R131" t="inlineStr">
        <is>
          <t>low_confidence</t>
        </is>
      </c>
      <c r="S131" t="inlineStr">
        <is>
          <t>unlocated</t>
        </is>
      </c>
      <c r="T131" t="inlineStr">
        <is>
          <t>low_confidence</t>
        </is>
      </c>
      <c r="U131" t="inlineStr">
        <is>
          <t>21138</t>
        </is>
      </c>
      <c r="V131" t="inlineStr">
        <is>
          <t>206</t>
        </is>
      </c>
      <c r="X131" t="inlineStr">
        <is>
          <t>1 of 2 endpoints located; center uses the located one(s) only</t>
        </is>
      </c>
    </row>
    <row r="132">
      <c r="A132" t="inlineStr">
        <is>
          <t>GPC_87</t>
        </is>
      </c>
      <c r="B132" t="inlineStr">
        <is>
          <t>Georgia Power</t>
        </is>
      </c>
      <c r="C132" t="inlineStr">
        <is>
          <t>GA</t>
        </is>
      </c>
      <c r="D132" t="inlineStr">
        <is>
          <t>LLOYD SHOALS - PORTERDALE PRIMARY 115KV REBUILD</t>
        </is>
      </c>
      <c r="E132" t="inlineStr">
        <is>
          <t>LLOYD SHOALS</t>
        </is>
      </c>
      <c r="H132" t="inlineStr">
        <is>
          <t>PORTERDALE PRIMARY</t>
        </is>
      </c>
      <c r="I132" t="n">
        <v>33.5751146</v>
      </c>
      <c r="J132" t="n">
        <v>-83.8937954</v>
      </c>
      <c r="K132">
        <f>IF(ISBLANK(I132), F132, IF(ISBLANK(F132), I132, (F132+I132)/2))</f>
        <v/>
      </c>
      <c r="L132">
        <f>IF(ISBLANK(J132), G132, IF(ISBLANK(G132), J132, (G132+J132)/2))</f>
        <v/>
      </c>
      <c r="M132" t="inlineStr">
        <is>
          <t>2029-06-01</t>
        </is>
      </c>
      <c r="N132" t="n">
        <v>0</v>
      </c>
      <c r="R132" t="inlineStr">
        <is>
          <t>low_confidence</t>
        </is>
      </c>
      <c r="S132" t="inlineStr">
        <is>
          <t>unlocated</t>
        </is>
      </c>
      <c r="T132" t="inlineStr">
        <is>
          <t>low_confidence</t>
        </is>
      </c>
      <c r="U132" t="inlineStr">
        <is>
          <t>21141</t>
        </is>
      </c>
      <c r="V132" t="inlineStr">
        <is>
          <t>206</t>
        </is>
      </c>
      <c r="X132" t="inlineStr">
        <is>
          <t>1 of 2 endpoints located; center uses the located one(s) only</t>
        </is>
      </c>
    </row>
    <row r="133">
      <c r="A133" t="inlineStr">
        <is>
          <t>GPC_88</t>
        </is>
      </c>
      <c r="B133" t="inlineStr">
        <is>
          <t>Georgia Power</t>
        </is>
      </c>
      <c r="C133" t="inlineStr">
        <is>
          <t>GA</t>
        </is>
      </c>
      <c r="D133" t="inlineStr">
        <is>
          <t>LOWER RIVER - WEBB (APC) 115KV RECONDUCTOR</t>
        </is>
      </c>
      <c r="E133" t="inlineStr">
        <is>
          <t>LOWER RIVER</t>
        </is>
      </c>
      <c r="H133" t="inlineStr">
        <is>
          <t>WEBB (APC)</t>
        </is>
      </c>
      <c r="K133">
        <f>IF(ISBLANK(I133), F133, IF(ISBLANK(F133), I133, (F133+I133)/2))</f>
        <v/>
      </c>
      <c r="L133">
        <f>IF(ISBLANK(J133), G133, IF(ISBLANK(G133), J133, (G133+J133)/2))</f>
        <v/>
      </c>
      <c r="M133" t="inlineStr">
        <is>
          <t>2029-06-01</t>
        </is>
      </c>
      <c r="N133" t="n">
        <v>0</v>
      </c>
      <c r="R133" t="inlineStr">
        <is>
          <t>unlocated</t>
        </is>
      </c>
      <c r="S133" t="inlineStr">
        <is>
          <t>unlocated</t>
        </is>
      </c>
      <c r="T133" t="inlineStr">
        <is>
          <t>rejected</t>
        </is>
      </c>
      <c r="U133" t="inlineStr">
        <is>
          <t>20285</t>
        </is>
      </c>
      <c r="V133" t="inlineStr">
        <is>
          <t>216</t>
        </is>
      </c>
      <c r="X133" t="inlineStr">
        <is>
          <t>no endpoint located</t>
        </is>
      </c>
    </row>
    <row r="134">
      <c r="A134" t="inlineStr">
        <is>
          <t>GPC_89</t>
        </is>
      </c>
      <c r="B134" t="inlineStr">
        <is>
          <t>Georgia Power</t>
        </is>
      </c>
      <c r="C134" t="inlineStr">
        <is>
          <t>GA</t>
        </is>
      </c>
      <c r="D134" t="inlineStr">
        <is>
          <t>MCEVER ROAD - SHOAL CREEK 115KV REBUILD</t>
        </is>
      </c>
      <c r="E134" t="inlineStr">
        <is>
          <t>MCEVER ROAD</t>
        </is>
      </c>
      <c r="F134" t="n">
        <v>34.2728832</v>
      </c>
      <c r="G134" t="n">
        <v>-83.8738012</v>
      </c>
      <c r="H134" t="inlineStr">
        <is>
          <t>SHOAL CREEK</t>
        </is>
      </c>
      <c r="K134">
        <f>IF(ISBLANK(I134), F134, IF(ISBLANK(F134), I134, (F134+I134)/2))</f>
        <v/>
      </c>
      <c r="L134">
        <f>IF(ISBLANK(J134), G134, IF(ISBLANK(G134), J134, (G134+J134)/2))</f>
        <v/>
      </c>
      <c r="M134" t="inlineStr">
        <is>
          <t>2029-06-01</t>
        </is>
      </c>
      <c r="N134" t="n">
        <v>0</v>
      </c>
      <c r="R134" t="inlineStr">
        <is>
          <t>confirmed</t>
        </is>
      </c>
      <c r="S134" t="inlineStr">
        <is>
          <t>confirmed</t>
        </is>
      </c>
      <c r="T134" t="inlineStr">
        <is>
          <t>unlocated</t>
        </is>
      </c>
      <c r="U134" t="inlineStr">
        <is>
          <t>19621</t>
        </is>
      </c>
      <c r="V134" t="inlineStr">
        <is>
          <t>212</t>
        </is>
      </c>
      <c r="X134" t="inlineStr">
        <is>
          <t>1 of 2 endpoints located; center uses the located one(s) only</t>
        </is>
      </c>
    </row>
    <row r="135">
      <c r="A135" t="inlineStr">
        <is>
          <t>GPC_90</t>
        </is>
      </c>
      <c r="B135" t="inlineStr">
        <is>
          <t>Georgia Power</t>
        </is>
      </c>
      <c r="C135" t="inlineStr">
        <is>
          <t>GA</t>
        </is>
      </c>
      <c r="D135" t="inlineStr">
        <is>
          <t>MCMANUS - WEST BRUNSWICK 115KV REBUILD</t>
        </is>
      </c>
      <c r="E135" t="inlineStr">
        <is>
          <t>MCMANUS</t>
        </is>
      </c>
      <c r="H135" t="inlineStr">
        <is>
          <t>WEST BRUNSWICK</t>
        </is>
      </c>
      <c r="I135" t="n">
        <v>31.2799089</v>
      </c>
      <c r="J135" t="n">
        <v>-81.55865679999999</v>
      </c>
      <c r="K135">
        <f>IF(ISBLANK(I135), F135, IF(ISBLANK(F135), I135, (F135+I135)/2))</f>
        <v/>
      </c>
      <c r="L135">
        <f>IF(ISBLANK(J135), G135, IF(ISBLANK(G135), J135, (G135+J135)/2))</f>
        <v/>
      </c>
      <c r="M135" t="inlineStr">
        <is>
          <t>2029-06-01</t>
        </is>
      </c>
      <c r="N135" t="n">
        <v>0</v>
      </c>
      <c r="R135" t="inlineStr">
        <is>
          <t>confirmed</t>
        </is>
      </c>
      <c r="S135" t="inlineStr">
        <is>
          <t>unlocated</t>
        </is>
      </c>
      <c r="T135" t="inlineStr">
        <is>
          <t>confirmed</t>
        </is>
      </c>
      <c r="U135" t="inlineStr">
        <is>
          <t>20346</t>
        </is>
      </c>
      <c r="V135" t="inlineStr">
        <is>
          <t>218</t>
        </is>
      </c>
      <c r="X135" t="inlineStr">
        <is>
          <t>1 of 2 endpoints located; center uses the located one(s) only</t>
        </is>
      </c>
    </row>
    <row r="136">
      <c r="A136" t="inlineStr">
        <is>
          <t>GPC_91</t>
        </is>
      </c>
      <c r="B136" t="inlineStr">
        <is>
          <t>Georgia Power</t>
        </is>
      </c>
      <c r="C136" t="inlineStr">
        <is>
          <t>GA</t>
        </is>
      </c>
      <c r="D136" t="inlineStr">
        <is>
          <t>NORCROSS - NORTH DRUID HILLS 115KV REBUILD</t>
        </is>
      </c>
      <c r="E136" t="inlineStr">
        <is>
          <t>NORCROSS</t>
        </is>
      </c>
      <c r="F136" t="n">
        <v>33.9325571</v>
      </c>
      <c r="G136" t="n">
        <v>-84.2134303</v>
      </c>
      <c r="H136" t="inlineStr">
        <is>
          <t>NORTH DRUID HILLS</t>
        </is>
      </c>
      <c r="I136" t="n">
        <v>33.8167711</v>
      </c>
      <c r="J136" t="n">
        <v>-84.3132574</v>
      </c>
      <c r="K136">
        <f>IF(ISBLANK(I136), F136, IF(ISBLANK(F136), I136, (F136+I136)/2))</f>
        <v/>
      </c>
      <c r="L136">
        <f>IF(ISBLANK(J136), G136, IF(ISBLANK(G136), J136, (G136+J136)/2))</f>
        <v/>
      </c>
      <c r="M136" t="inlineStr">
        <is>
          <t>2029-06-01</t>
        </is>
      </c>
      <c r="N136" t="n">
        <v>0</v>
      </c>
      <c r="R136" t="inlineStr">
        <is>
          <t>low_confidence</t>
        </is>
      </c>
      <c r="S136" t="inlineStr">
        <is>
          <t>confirmed</t>
        </is>
      </c>
      <c r="T136" t="inlineStr">
        <is>
          <t>low_confidence</t>
        </is>
      </c>
      <c r="U136" t="inlineStr">
        <is>
          <t>20757</t>
        </is>
      </c>
      <c r="V136" t="inlineStr">
        <is>
          <t>202</t>
        </is>
      </c>
      <c r="X136" t="inlineStr"/>
    </row>
    <row r="137">
      <c r="A137" t="inlineStr">
        <is>
          <t>GPC_92</t>
        </is>
      </c>
      <c r="B137" t="inlineStr">
        <is>
          <t>Georgia Power</t>
        </is>
      </c>
      <c r="C137" t="inlineStr">
        <is>
          <t>GA</t>
        </is>
      </c>
      <c r="D137" t="inlineStr">
        <is>
          <t>SAV: BOULEVARD - MAGNOLIA 115 KV LINE REBUILD</t>
        </is>
      </c>
      <c r="E137" t="inlineStr">
        <is>
          <t>BOULEVARD</t>
        </is>
      </c>
      <c r="F137" t="n">
        <v>32.0412308</v>
      </c>
      <c r="G137" t="n">
        <v>-81.1444637</v>
      </c>
      <c r="H137" t="inlineStr">
        <is>
          <t>MAGNOLIA</t>
        </is>
      </c>
      <c r="I137" t="n">
        <v>32.0226869</v>
      </c>
      <c r="J137" t="n">
        <v>-81.0861807</v>
      </c>
      <c r="K137">
        <f>IF(ISBLANK(I137), F137, IF(ISBLANK(F137), I137, (F137+I137)/2))</f>
        <v/>
      </c>
      <c r="L137">
        <f>IF(ISBLANK(J137), G137, IF(ISBLANK(G137), J137, (G137+J137)/2))</f>
        <v/>
      </c>
      <c r="M137" t="inlineStr">
        <is>
          <t>2029-06-01</t>
        </is>
      </c>
      <c r="N137" t="n">
        <v>2</v>
      </c>
      <c r="O137" t="inlineStr">
        <is>
          <t>DESC_10</t>
        </is>
      </c>
      <c r="P137" t="inlineStr">
        <is>
          <t>DESC_23</t>
        </is>
      </c>
      <c r="R137" t="inlineStr">
        <is>
          <t>confirmed</t>
        </is>
      </c>
      <c r="S137" t="inlineStr">
        <is>
          <t>confirmed</t>
        </is>
      </c>
      <c r="T137" t="inlineStr">
        <is>
          <t>confirmed</t>
        </is>
      </c>
      <c r="U137" t="inlineStr">
        <is>
          <t>21006</t>
        </is>
      </c>
      <c r="V137" t="inlineStr">
        <is>
          <t>219</t>
        </is>
      </c>
      <c r="X137" t="inlineStr"/>
    </row>
    <row r="138">
      <c r="A138" t="inlineStr">
        <is>
          <t>GPC_93</t>
        </is>
      </c>
      <c r="B138" t="inlineStr">
        <is>
          <t>Georgia Power</t>
        </is>
      </c>
      <c r="C138" t="inlineStr">
        <is>
          <t>GA</t>
        </is>
      </c>
      <c r="D138" t="inlineStr">
        <is>
          <t>SAV: DEAN FOREST - LITTLE OGEECHEE 230 KV REBUILD</t>
        </is>
      </c>
      <c r="E138" t="inlineStr">
        <is>
          <t>DEAN FOREST</t>
        </is>
      </c>
      <c r="F138" t="n">
        <v>32.0835097</v>
      </c>
      <c r="G138" t="n">
        <v>-81.18872229999999</v>
      </c>
      <c r="H138" t="inlineStr">
        <is>
          <t>LITTLE OGEECHEE</t>
        </is>
      </c>
      <c r="I138" t="n">
        <v>32.0067859</v>
      </c>
      <c r="J138" t="n">
        <v>-81.2531513</v>
      </c>
      <c r="K138">
        <f>IF(ISBLANK(I138), F138, IF(ISBLANK(F138), I138, (F138+I138)/2))</f>
        <v/>
      </c>
      <c r="L138">
        <f>IF(ISBLANK(J138), G138, IF(ISBLANK(G138), J138, (G138+J138)/2))</f>
        <v/>
      </c>
      <c r="M138" t="inlineStr">
        <is>
          <t>2029-06-01</t>
        </is>
      </c>
      <c r="N138" t="n">
        <v>2</v>
      </c>
      <c r="O138" t="inlineStr">
        <is>
          <t>DESC_23</t>
        </is>
      </c>
      <c r="P138" t="inlineStr">
        <is>
          <t>DESC_10</t>
        </is>
      </c>
      <c r="R138" t="inlineStr">
        <is>
          <t>confirmed</t>
        </is>
      </c>
      <c r="S138" t="inlineStr">
        <is>
          <t>confirmed</t>
        </is>
      </c>
      <c r="T138" t="inlineStr">
        <is>
          <t>confirmed</t>
        </is>
      </c>
      <c r="U138" t="inlineStr">
        <is>
          <t>21023</t>
        </is>
      </c>
      <c r="V138" t="inlineStr">
        <is>
          <t>219</t>
        </is>
      </c>
      <c r="X138" t="inlineStr"/>
    </row>
    <row r="139">
      <c r="A139" t="inlineStr">
        <is>
          <t>GPC_94</t>
        </is>
      </c>
      <c r="B139" t="inlineStr">
        <is>
          <t>Georgia Power</t>
        </is>
      </c>
      <c r="C139" t="inlineStr">
        <is>
          <t>GA</t>
        </is>
      </c>
      <c r="D139" t="inlineStr">
        <is>
          <t>SAV: RICE HOPE NEW AUTO TRANSFORMER</t>
        </is>
      </c>
      <c r="E139" t="inlineStr">
        <is>
          <t>RICE HOPE NEW AUTO TRANSFORMER</t>
        </is>
      </c>
      <c r="K139">
        <f>IF(ISBLANK(I139), F139, IF(ISBLANK(F139), I139, (F139+I139)/2))</f>
        <v/>
      </c>
      <c r="L139">
        <f>IF(ISBLANK(J139), G139, IF(ISBLANK(G139), J139, (G139+J139)/2))</f>
        <v/>
      </c>
      <c r="M139" t="inlineStr">
        <is>
          <t>2029-06-01</t>
        </is>
      </c>
      <c r="N139" t="n">
        <v>0</v>
      </c>
      <c r="R139" t="inlineStr">
        <is>
          <t>unlocated</t>
        </is>
      </c>
      <c r="S139" t="inlineStr">
        <is>
          <t>unlocated</t>
        </is>
      </c>
      <c r="U139" t="inlineStr">
        <is>
          <t>20989</t>
        </is>
      </c>
      <c r="V139" t="inlineStr">
        <is>
          <t>219</t>
        </is>
      </c>
      <c r="X139" t="inlineStr">
        <is>
          <t>no endpoint located</t>
        </is>
      </c>
    </row>
    <row r="140">
      <c r="A140" t="inlineStr">
        <is>
          <t>GPC_95</t>
        </is>
      </c>
      <c r="B140" t="inlineStr">
        <is>
          <t>Georgia Power</t>
        </is>
      </c>
      <c r="C140" t="inlineStr">
        <is>
          <t>GA</t>
        </is>
      </c>
      <c r="D140" t="inlineStr">
        <is>
          <t>SOUTH BAINBRIDGE - SINAI (FPL) 115KV LINE RECONDUCTOR</t>
        </is>
      </c>
      <c r="E140" t="inlineStr">
        <is>
          <t>SOUTH BAINBRIDGE</t>
        </is>
      </c>
      <c r="F140" t="n">
        <v>30.8396079</v>
      </c>
      <c r="G140" t="n">
        <v>-84.4889211</v>
      </c>
      <c r="H140" t="inlineStr">
        <is>
          <t>SINAI (FPL)</t>
        </is>
      </c>
      <c r="K140">
        <f>IF(ISBLANK(I140), F140, IF(ISBLANK(F140), I140, (F140+I140)/2))</f>
        <v/>
      </c>
      <c r="L140">
        <f>IF(ISBLANK(J140), G140, IF(ISBLANK(G140), J140, (G140+J140)/2))</f>
        <v/>
      </c>
      <c r="M140" t="inlineStr">
        <is>
          <t>2029-06-01</t>
        </is>
      </c>
      <c r="N140" t="n">
        <v>0</v>
      </c>
      <c r="R140" t="inlineStr">
        <is>
          <t>confirmed</t>
        </is>
      </c>
      <c r="S140" t="inlineStr">
        <is>
          <t>confirmed</t>
        </is>
      </c>
      <c r="T140" t="inlineStr">
        <is>
          <t>unlocated</t>
        </is>
      </c>
      <c r="U140" t="inlineStr">
        <is>
          <t>13628</t>
        </is>
      </c>
      <c r="V140" t="inlineStr">
        <is>
          <t>216</t>
        </is>
      </c>
      <c r="X140" t="inlineStr">
        <is>
          <t>1 of 2 endpoints located; center uses the located one(s) only</t>
        </is>
      </c>
    </row>
    <row r="141">
      <c r="A141" t="inlineStr">
        <is>
          <t>GPC_96</t>
        </is>
      </c>
      <c r="B141" t="inlineStr">
        <is>
          <t>Georgia Power</t>
        </is>
      </c>
      <c r="C141" t="inlineStr">
        <is>
          <t>GA</t>
        </is>
      </c>
      <c r="D141" t="inlineStr">
        <is>
          <t>BAY CREEK - CONYERS 230KV REBUILD</t>
        </is>
      </c>
      <c r="E141" t="inlineStr">
        <is>
          <t>BAY CREEK</t>
        </is>
      </c>
      <c r="F141" t="n">
        <v>33.8681196</v>
      </c>
      <c r="G141" t="n">
        <v>-83.8823506</v>
      </c>
      <c r="H141" t="inlineStr">
        <is>
          <t>CONYERS</t>
        </is>
      </c>
      <c r="I141" t="n">
        <v>33.6676103</v>
      </c>
      <c r="J141" t="n">
        <v>-84.01769040000001</v>
      </c>
      <c r="K141">
        <f>IF(ISBLANK(I141), F141, IF(ISBLANK(F141), I141, (F141+I141)/2))</f>
        <v/>
      </c>
      <c r="L141">
        <f>IF(ISBLANK(J141), G141, IF(ISBLANK(G141), J141, (G141+J141)/2))</f>
        <v/>
      </c>
      <c r="M141" t="inlineStr">
        <is>
          <t>2029-12-31</t>
        </is>
      </c>
      <c r="N141" t="n">
        <v>0</v>
      </c>
      <c r="R141" t="inlineStr">
        <is>
          <t>low_confidence</t>
        </is>
      </c>
      <c r="S141" t="inlineStr">
        <is>
          <t>confirmed</t>
        </is>
      </c>
      <c r="T141" t="inlineStr">
        <is>
          <t>low_confidence</t>
        </is>
      </c>
      <c r="U141" t="inlineStr">
        <is>
          <t>20248</t>
        </is>
      </c>
      <c r="V141" t="inlineStr">
        <is>
          <t>202</t>
        </is>
      </c>
      <c r="X141" t="inlineStr"/>
    </row>
    <row r="142">
      <c r="A142" t="inlineStr">
        <is>
          <t>GPC_97</t>
        </is>
      </c>
      <c r="B142" t="inlineStr">
        <is>
          <t>Georgia Power</t>
        </is>
      </c>
      <c r="C142" t="inlineStr">
        <is>
          <t>GA</t>
        </is>
      </c>
      <c r="D142" t="inlineStr">
        <is>
          <t>ANNISTON - HAMMOND 230KV LINE</t>
        </is>
      </c>
      <c r="E142" t="inlineStr">
        <is>
          <t>ANNISTON</t>
        </is>
      </c>
      <c r="H142" t="inlineStr">
        <is>
          <t>HAMMOND</t>
        </is>
      </c>
      <c r="I142" t="n">
        <v>34.2512064</v>
      </c>
      <c r="J142" t="n">
        <v>-85.34558</v>
      </c>
      <c r="K142">
        <f>IF(ISBLANK(I142), F142, IF(ISBLANK(F142), I142, (F142+I142)/2))</f>
        <v/>
      </c>
      <c r="L142">
        <f>IF(ISBLANK(J142), G142, IF(ISBLANK(G142), J142, (G142+J142)/2))</f>
        <v/>
      </c>
      <c r="M142" t="inlineStr">
        <is>
          <t>2030-06-01</t>
        </is>
      </c>
      <c r="N142" t="n">
        <v>0</v>
      </c>
      <c r="R142" t="inlineStr">
        <is>
          <t>low_confidence</t>
        </is>
      </c>
      <c r="S142" t="inlineStr">
        <is>
          <t>unlocated</t>
        </is>
      </c>
      <c r="T142" t="inlineStr">
        <is>
          <t>low_confidence</t>
        </is>
      </c>
      <c r="U142" t="inlineStr">
        <is>
          <t>21129</t>
        </is>
      </c>
      <c r="V142" t="inlineStr">
        <is>
          <t>211</t>
        </is>
      </c>
      <c r="X142" t="inlineStr">
        <is>
          <t>1 of 2 endpoints located; center uses the located one(s) only</t>
        </is>
      </c>
    </row>
    <row r="143">
      <c r="A143" t="inlineStr">
        <is>
          <t>GPC_98</t>
        </is>
      </c>
      <c r="B143" t="inlineStr">
        <is>
          <t>Georgia Power</t>
        </is>
      </c>
      <c r="C143" t="inlineStr">
        <is>
          <t>GA</t>
        </is>
      </c>
      <c r="D143" t="inlineStr">
        <is>
          <t>ATKINSON - NORTHSIDE DRIVE 115KV REBUILD</t>
        </is>
      </c>
      <c r="E143" t="inlineStr">
        <is>
          <t>ATKINSON</t>
        </is>
      </c>
      <c r="H143" t="inlineStr">
        <is>
          <t>NORTHSIDE DRIVE</t>
        </is>
      </c>
      <c r="K143">
        <f>IF(ISBLANK(I143), F143, IF(ISBLANK(F143), I143, (F143+I143)/2))</f>
        <v/>
      </c>
      <c r="L143">
        <f>IF(ISBLANK(J143), G143, IF(ISBLANK(G143), J143, (G143+J143)/2))</f>
        <v/>
      </c>
      <c r="M143" t="inlineStr">
        <is>
          <t>2030-06-01</t>
        </is>
      </c>
      <c r="N143" t="n">
        <v>0</v>
      </c>
      <c r="R143" t="inlineStr">
        <is>
          <t>unlocated</t>
        </is>
      </c>
      <c r="S143" t="inlineStr">
        <is>
          <t>unlocated</t>
        </is>
      </c>
      <c r="T143" t="inlineStr">
        <is>
          <t>unlocated</t>
        </is>
      </c>
      <c r="U143" t="inlineStr">
        <is>
          <t>20764</t>
        </is>
      </c>
      <c r="V143" t="inlineStr">
        <is>
          <t>201</t>
        </is>
      </c>
      <c r="X143" t="inlineStr">
        <is>
          <t>no endpoint located</t>
        </is>
      </c>
    </row>
    <row r="144">
      <c r="A144" t="inlineStr">
        <is>
          <t>GPC_99</t>
        </is>
      </c>
      <c r="B144" t="inlineStr">
        <is>
          <t>Georgia Power</t>
        </is>
      </c>
      <c r="C144" t="inlineStr">
        <is>
          <t>GA</t>
        </is>
      </c>
      <c r="D144" t="inlineStr">
        <is>
          <t>ATKINSON - NORTHWEST 115KV REBUILD</t>
        </is>
      </c>
      <c r="E144" t="inlineStr">
        <is>
          <t>ATKINSON</t>
        </is>
      </c>
      <c r="H144" t="inlineStr">
        <is>
          <t>NORTHWEST</t>
        </is>
      </c>
      <c r="K144">
        <f>IF(ISBLANK(I144), F144, IF(ISBLANK(F144), I144, (F144+I144)/2))</f>
        <v/>
      </c>
      <c r="L144">
        <f>IF(ISBLANK(J144), G144, IF(ISBLANK(G144), J144, (G144+J144)/2))</f>
        <v/>
      </c>
      <c r="M144" t="inlineStr">
        <is>
          <t>2030-06-01</t>
        </is>
      </c>
      <c r="N144" t="n">
        <v>0</v>
      </c>
      <c r="R144" t="inlineStr">
        <is>
          <t>unlocated</t>
        </is>
      </c>
      <c r="S144" t="inlineStr">
        <is>
          <t>unlocated</t>
        </is>
      </c>
      <c r="T144" t="inlineStr">
        <is>
          <t>unlocated</t>
        </is>
      </c>
      <c r="U144" t="inlineStr">
        <is>
          <t>20761</t>
        </is>
      </c>
      <c r="V144" t="inlineStr">
        <is>
          <t>201</t>
        </is>
      </c>
      <c r="X144" t="inlineStr">
        <is>
          <t>no endpoint located</t>
        </is>
      </c>
    </row>
    <row r="145">
      <c r="A145" t="inlineStr">
        <is>
          <t>GPC_100</t>
        </is>
      </c>
      <c r="B145" t="inlineStr">
        <is>
          <t>Georgia Power</t>
        </is>
      </c>
      <c r="C145" t="inlineStr">
        <is>
          <t>GA</t>
        </is>
      </c>
      <c r="D145" t="inlineStr">
        <is>
          <t>CC - NORTH GEORGIA DATA NETWORK UPGRADES</t>
        </is>
      </c>
      <c r="K145">
        <f>IF(ISBLANK(I145), F145, IF(ISBLANK(F145), I145, (F145+I145)/2))</f>
        <v/>
      </c>
      <c r="L145">
        <f>IF(ISBLANK(J145), G145, IF(ISBLANK(G145), J145, (G145+J145)/2))</f>
        <v/>
      </c>
      <c r="M145" t="inlineStr">
        <is>
          <t>2030-06-01</t>
        </is>
      </c>
      <c r="N145" t="n">
        <v>0</v>
      </c>
      <c r="R145" t="inlineStr">
        <is>
          <t>unlocated</t>
        </is>
      </c>
      <c r="U145" t="inlineStr">
        <is>
          <t>21130</t>
        </is>
      </c>
      <c r="V145" t="inlineStr">
        <is>
          <t>212</t>
        </is>
      </c>
      <c r="X145" t="inlineStr">
        <is>
          <t>no endpoint located</t>
        </is>
      </c>
    </row>
    <row r="146">
      <c r="A146" t="inlineStr">
        <is>
          <t>GPC_101</t>
        </is>
      </c>
      <c r="B146" t="inlineStr">
        <is>
          <t>Georgia Power</t>
        </is>
      </c>
      <c r="C146" t="inlineStr">
        <is>
          <t>GA</t>
        </is>
      </c>
      <c r="D146" t="inlineStr">
        <is>
          <t>CORNELIA - TALLULAH LODGE 115KV REBUILD</t>
        </is>
      </c>
      <c r="E146" t="inlineStr">
        <is>
          <t>CORNELIA</t>
        </is>
      </c>
      <c r="F146" t="n">
        <v>34.5114883</v>
      </c>
      <c r="G146" t="n">
        <v>-83.5271166</v>
      </c>
      <c r="H146" t="inlineStr">
        <is>
          <t>TALLULAH LODGE</t>
        </is>
      </c>
      <c r="K146">
        <f>IF(ISBLANK(I146), F146, IF(ISBLANK(F146), I146, (F146+I146)/2))</f>
        <v/>
      </c>
      <c r="L146">
        <f>IF(ISBLANK(J146), G146, IF(ISBLANK(G146), J146, (G146+J146)/2))</f>
        <v/>
      </c>
      <c r="M146" t="inlineStr">
        <is>
          <t>2030-06-01</t>
        </is>
      </c>
      <c r="N146" t="n">
        <v>0</v>
      </c>
      <c r="R146" t="inlineStr">
        <is>
          <t>low_confidence</t>
        </is>
      </c>
      <c r="S146" t="inlineStr">
        <is>
          <t>low_confidence</t>
        </is>
      </c>
      <c r="T146" t="inlineStr">
        <is>
          <t>unlocated</t>
        </is>
      </c>
      <c r="U146" t="inlineStr">
        <is>
          <t>10478</t>
        </is>
      </c>
      <c r="V146" t="inlineStr">
        <is>
          <t>212</t>
        </is>
      </c>
      <c r="X146" t="inlineStr">
        <is>
          <t>1 of 2 endpoints located; center uses the located one(s) only</t>
        </is>
      </c>
    </row>
    <row r="147">
      <c r="A147" t="inlineStr">
        <is>
          <t>GPC_102</t>
        </is>
      </c>
      <c r="B147" t="inlineStr">
        <is>
          <t>Georgia Power</t>
        </is>
      </c>
      <c r="C147" t="inlineStr">
        <is>
          <t>GA</t>
        </is>
      </c>
      <c r="D147" t="inlineStr">
        <is>
          <t>EAST POINT - TRIBUTARY 230KV REBUILD</t>
        </is>
      </c>
      <c r="E147" t="inlineStr">
        <is>
          <t>EAST POINT</t>
        </is>
      </c>
      <c r="F147" t="n">
        <v>33.6763499</v>
      </c>
      <c r="G147" t="n">
        <v>-84.4629659</v>
      </c>
      <c r="H147" t="inlineStr">
        <is>
          <t>TRIBUTARY</t>
        </is>
      </c>
      <c r="I147" t="n">
        <v>33.7129313</v>
      </c>
      <c r="J147" t="n">
        <v>-84.6426467</v>
      </c>
      <c r="K147">
        <f>IF(ISBLANK(I147), F147, IF(ISBLANK(F147), I147, (F147+I147)/2))</f>
        <v/>
      </c>
      <c r="L147">
        <f>IF(ISBLANK(J147), G147, IF(ISBLANK(G147), J147, (G147+J147)/2))</f>
        <v/>
      </c>
      <c r="M147" t="inlineStr">
        <is>
          <t>2030-06-01</t>
        </is>
      </c>
      <c r="N147" t="n">
        <v>0</v>
      </c>
      <c r="R147" t="inlineStr">
        <is>
          <t>low_confidence</t>
        </is>
      </c>
      <c r="S147" t="inlineStr">
        <is>
          <t>confirmed</t>
        </is>
      </c>
      <c r="T147" t="inlineStr">
        <is>
          <t>low_confidence</t>
        </is>
      </c>
      <c r="U147" t="inlineStr">
        <is>
          <t>21097</t>
        </is>
      </c>
      <c r="V147" t="inlineStr">
        <is>
          <t>201</t>
        </is>
      </c>
      <c r="X147" t="inlineStr"/>
    </row>
    <row r="148">
      <c r="A148" t="inlineStr">
        <is>
          <t>GPC_103</t>
        </is>
      </c>
      <c r="B148" t="inlineStr">
        <is>
          <t>Georgia Power</t>
        </is>
      </c>
      <c r="C148" t="inlineStr">
        <is>
          <t>GA</t>
        </is>
      </c>
      <c r="D148" t="inlineStr">
        <is>
          <t>EAST POINT - UNION CITY 230KV BLACK LINE RECONDUCTOR</t>
        </is>
      </c>
      <c r="E148" t="inlineStr">
        <is>
          <t>EAST POINT</t>
        </is>
      </c>
      <c r="F148" t="n">
        <v>33.6763499</v>
      </c>
      <c r="G148" t="n">
        <v>-84.4629659</v>
      </c>
      <c r="H148" t="inlineStr">
        <is>
          <t>UNION CITY</t>
        </is>
      </c>
      <c r="I148" t="n">
        <v>33.5870558</v>
      </c>
      <c r="J148" t="n">
        <v>-84.5424299</v>
      </c>
      <c r="K148">
        <f>IF(ISBLANK(I148), F148, IF(ISBLANK(F148), I148, (F148+I148)/2))</f>
        <v/>
      </c>
      <c r="L148">
        <f>IF(ISBLANK(J148), G148, IF(ISBLANK(G148), J148, (G148+J148)/2))</f>
        <v/>
      </c>
      <c r="M148" t="inlineStr">
        <is>
          <t>2030-06-01</t>
        </is>
      </c>
      <c r="N148" t="n">
        <v>0</v>
      </c>
      <c r="R148" t="inlineStr">
        <is>
          <t>low_confidence</t>
        </is>
      </c>
      <c r="S148" t="inlineStr">
        <is>
          <t>confirmed</t>
        </is>
      </c>
      <c r="T148" t="inlineStr">
        <is>
          <t>low_confidence</t>
        </is>
      </c>
      <c r="U148" t="inlineStr">
        <is>
          <t>20480</t>
        </is>
      </c>
      <c r="V148" t="inlineStr">
        <is>
          <t>208</t>
        </is>
      </c>
      <c r="X148" t="inlineStr"/>
    </row>
    <row r="149">
      <c r="A149" t="inlineStr">
        <is>
          <t>GPC_104</t>
        </is>
      </c>
      <c r="B149" t="inlineStr">
        <is>
          <t>Georgia Power</t>
        </is>
      </c>
      <c r="C149" t="inlineStr">
        <is>
          <t>GA</t>
        </is>
      </c>
      <c r="D149" t="inlineStr">
        <is>
          <t>ECHECONNEE-WELLSTON 115KV LINE REBUILD</t>
        </is>
      </c>
      <c r="E149" t="inlineStr">
        <is>
          <t>ECHECONNEE</t>
        </is>
      </c>
      <c r="F149" t="n">
        <v>32.6851436</v>
      </c>
      <c r="G149" t="n">
        <v>-83.700462</v>
      </c>
      <c r="H149" t="inlineStr">
        <is>
          <t>WELLSTON</t>
        </is>
      </c>
      <c r="K149">
        <f>IF(ISBLANK(I149), F149, IF(ISBLANK(F149), I149, (F149+I149)/2))</f>
        <v/>
      </c>
      <c r="L149">
        <f>IF(ISBLANK(J149), G149, IF(ISBLANK(G149), J149, (G149+J149)/2))</f>
        <v/>
      </c>
      <c r="M149" t="inlineStr">
        <is>
          <t>2030-06-01</t>
        </is>
      </c>
      <c r="N149" t="n">
        <v>0</v>
      </c>
      <c r="R149" t="inlineStr">
        <is>
          <t>low_confidence</t>
        </is>
      </c>
      <c r="S149" t="inlineStr">
        <is>
          <t>low_confidence</t>
        </is>
      </c>
      <c r="T149" t="inlineStr">
        <is>
          <t>unlocated</t>
        </is>
      </c>
      <c r="U149" t="inlineStr">
        <is>
          <t>19627</t>
        </is>
      </c>
      <c r="V149" t="inlineStr">
        <is>
          <t>214</t>
        </is>
      </c>
      <c r="X149" t="inlineStr">
        <is>
          <t>1 of 2 endpoints located; center uses the located one(s) only</t>
        </is>
      </c>
    </row>
    <row r="150">
      <c r="A150" t="inlineStr">
        <is>
          <t>GPC_105</t>
        </is>
      </c>
      <c r="B150" t="inlineStr">
        <is>
          <t>Georgia Power</t>
        </is>
      </c>
      <c r="C150" t="inlineStr">
        <is>
          <t>GA</t>
        </is>
      </c>
      <c r="D150" t="inlineStr">
        <is>
          <t>FARLEY (APC)-TAZEWELL 500KV</t>
        </is>
      </c>
      <c r="E150" t="inlineStr">
        <is>
          <t>FARLEY (APC)</t>
        </is>
      </c>
      <c r="H150" t="inlineStr">
        <is>
          <t>TAZEWELL</t>
        </is>
      </c>
      <c r="K150">
        <f>IF(ISBLANK(I150), F150, IF(ISBLANK(F150), I150, (F150+I150)/2))</f>
        <v/>
      </c>
      <c r="L150">
        <f>IF(ISBLANK(J150), G150, IF(ISBLANK(G150), J150, (G150+J150)/2))</f>
        <v/>
      </c>
      <c r="M150" t="inlineStr">
        <is>
          <t>2030-06-01</t>
        </is>
      </c>
      <c r="N150" t="n">
        <v>0</v>
      </c>
      <c r="R150" t="inlineStr">
        <is>
          <t>unlocated</t>
        </is>
      </c>
      <c r="S150" t="inlineStr">
        <is>
          <t>unlocated</t>
        </is>
      </c>
      <c r="T150" t="inlineStr">
        <is>
          <t>rejected</t>
        </is>
      </c>
      <c r="U150" t="inlineStr">
        <is>
          <t>21063</t>
        </is>
      </c>
      <c r="V150" t="inlineStr">
        <is>
          <t>216</t>
        </is>
      </c>
      <c r="X150" t="inlineStr">
        <is>
          <t>no endpoint located</t>
        </is>
      </c>
    </row>
    <row r="151">
      <c r="A151" t="inlineStr">
        <is>
          <t>GPC_106</t>
        </is>
      </c>
      <c r="B151" t="inlineStr">
        <is>
          <t>Georgia Power</t>
        </is>
      </c>
      <c r="C151" t="inlineStr">
        <is>
          <t>GA</t>
        </is>
      </c>
      <c r="D151" t="inlineStr">
        <is>
          <t>GAINESVILLE #2 - MCEVER ROAD 115 KV REBUILD</t>
        </is>
      </c>
      <c r="E151" t="inlineStr">
        <is>
          <t>GAINESVILLE #2</t>
        </is>
      </c>
      <c r="F151" t="n">
        <v>34.263022</v>
      </c>
      <c r="G151" t="n">
        <v>-83.8096728</v>
      </c>
      <c r="H151" t="inlineStr">
        <is>
          <t>MCEVER ROAD</t>
        </is>
      </c>
      <c r="I151" t="n">
        <v>34.2728832</v>
      </c>
      <c r="J151" t="n">
        <v>-83.8738012</v>
      </c>
      <c r="K151">
        <f>IF(ISBLANK(I151), F151, IF(ISBLANK(F151), I151, (F151+I151)/2))</f>
        <v/>
      </c>
      <c r="L151">
        <f>IF(ISBLANK(J151), G151, IF(ISBLANK(G151), J151, (G151+J151)/2))</f>
        <v/>
      </c>
      <c r="M151" t="inlineStr">
        <is>
          <t>2030-06-01</t>
        </is>
      </c>
      <c r="N151" t="n">
        <v>0</v>
      </c>
      <c r="R151" t="inlineStr">
        <is>
          <t>confirmed</t>
        </is>
      </c>
      <c r="S151" t="inlineStr">
        <is>
          <t>confirmed</t>
        </is>
      </c>
      <c r="T151" t="inlineStr">
        <is>
          <t>confirmed</t>
        </is>
      </c>
      <c r="U151" t="inlineStr">
        <is>
          <t>12120</t>
        </is>
      </c>
      <c r="V151" t="inlineStr">
        <is>
          <t>212</t>
        </is>
      </c>
      <c r="X151" t="inlineStr"/>
    </row>
    <row r="152">
      <c r="A152" t="inlineStr">
        <is>
          <t>GPC_107</t>
        </is>
      </c>
      <c r="B152" t="inlineStr">
        <is>
          <t>Georgia Power</t>
        </is>
      </c>
      <c r="C152" t="inlineStr">
        <is>
          <t>GA</t>
        </is>
      </c>
      <c r="D152" t="inlineStr">
        <is>
          <t>GLENWOOD SPRINGS - LAKE OCONEE 115KV LINE REBUILD</t>
        </is>
      </c>
      <c r="E152" t="inlineStr">
        <is>
          <t>GLENWOOD SPRINGS</t>
        </is>
      </c>
      <c r="H152" t="inlineStr">
        <is>
          <t>LAKE OCONEE</t>
        </is>
      </c>
      <c r="I152" t="n">
        <v>33.4595297</v>
      </c>
      <c r="J152" t="n">
        <v>-83.247451</v>
      </c>
      <c r="K152">
        <f>IF(ISBLANK(I152), F152, IF(ISBLANK(F152), I152, (F152+I152)/2))</f>
        <v/>
      </c>
      <c r="L152">
        <f>IF(ISBLANK(J152), G152, IF(ISBLANK(G152), J152, (G152+J152)/2))</f>
        <v/>
      </c>
      <c r="M152" t="inlineStr">
        <is>
          <t>2030-06-01</t>
        </is>
      </c>
      <c r="N152" t="n">
        <v>0</v>
      </c>
      <c r="R152" t="inlineStr">
        <is>
          <t>confirmed</t>
        </is>
      </c>
      <c r="S152" t="inlineStr">
        <is>
          <t>unlocated</t>
        </is>
      </c>
      <c r="T152" t="inlineStr">
        <is>
          <t>confirmed</t>
        </is>
      </c>
      <c r="U152" t="inlineStr">
        <is>
          <t>20298</t>
        </is>
      </c>
      <c r="V152" t="inlineStr">
        <is>
          <t>214</t>
        </is>
      </c>
      <c r="X152" t="inlineStr">
        <is>
          <t>1 of 2 endpoints located; center uses the located one(s) only</t>
        </is>
      </c>
    </row>
    <row r="153">
      <c r="A153" t="inlineStr">
        <is>
          <t>GPC_108</t>
        </is>
      </c>
      <c r="B153" t="inlineStr">
        <is>
          <t>Georgia Power</t>
        </is>
      </c>
      <c r="C153" t="inlineStr">
        <is>
          <t>GA</t>
        </is>
      </c>
      <c r="D153" t="inlineStr">
        <is>
          <t>GOAT ROCK REACTORS INSTALLATION</t>
        </is>
      </c>
      <c r="E153" t="inlineStr">
        <is>
          <t>GOAT ROCK REACTORS INSTALLATION</t>
        </is>
      </c>
      <c r="F153" t="n">
        <v>32.6082662</v>
      </c>
      <c r="G153" t="n">
        <v>-85.0824629</v>
      </c>
      <c r="K153">
        <f>IF(ISBLANK(I153), F153, IF(ISBLANK(F153), I153, (F153+I153)/2))</f>
        <v/>
      </c>
      <c r="L153">
        <f>IF(ISBLANK(J153), G153, IF(ISBLANK(G153), J153, (G153+J153)/2))</f>
        <v/>
      </c>
      <c r="M153" t="inlineStr">
        <is>
          <t>2030-06-01</t>
        </is>
      </c>
      <c r="N153" t="n">
        <v>0</v>
      </c>
      <c r="R153" t="inlineStr">
        <is>
          <t>confirmed</t>
        </is>
      </c>
      <c r="S153" t="inlineStr">
        <is>
          <t>confirmed</t>
        </is>
      </c>
      <c r="U153" t="inlineStr">
        <is>
          <t>21128</t>
        </is>
      </c>
      <c r="V153" t="inlineStr">
        <is>
          <t>213</t>
        </is>
      </c>
      <c r="X153" t="inlineStr"/>
    </row>
    <row r="154">
      <c r="A154" t="inlineStr">
        <is>
          <t>GPC_109</t>
        </is>
      </c>
      <c r="B154" t="inlineStr">
        <is>
          <t>Georgia Power</t>
        </is>
      </c>
      <c r="C154" t="inlineStr">
        <is>
          <t>GA</t>
        </is>
      </c>
      <c r="D154" t="inlineStr">
        <is>
          <t>GOLDENS CREEK - WARRENTON PRIMARY 230KV REBUILD</t>
        </is>
      </c>
      <c r="E154" t="inlineStr">
        <is>
          <t>GOLDENS CREEK</t>
        </is>
      </c>
      <c r="H154" t="inlineStr">
        <is>
          <t>WARRENTON PRIMARY</t>
        </is>
      </c>
      <c r="I154" t="n">
        <v>33.4064479</v>
      </c>
      <c r="J154" t="n">
        <v>-82.6708417</v>
      </c>
      <c r="K154">
        <f>IF(ISBLANK(I154), F154, IF(ISBLANK(F154), I154, (F154+I154)/2))</f>
        <v/>
      </c>
      <c r="L154">
        <f>IF(ISBLANK(J154), G154, IF(ISBLANK(G154), J154, (G154+J154)/2))</f>
        <v/>
      </c>
      <c r="M154" t="inlineStr">
        <is>
          <t>2030-06-01</t>
        </is>
      </c>
      <c r="N154" t="n">
        <v>0</v>
      </c>
      <c r="R154" t="inlineStr">
        <is>
          <t>confirmed</t>
        </is>
      </c>
      <c r="S154" t="inlineStr">
        <is>
          <t>unlocated</t>
        </is>
      </c>
      <c r="T154" t="inlineStr">
        <is>
          <t>confirmed</t>
        </is>
      </c>
      <c r="U154" t="inlineStr">
        <is>
          <t>19996</t>
        </is>
      </c>
      <c r="V154" t="inlineStr">
        <is>
          <t>215</t>
        </is>
      </c>
      <c r="X154" t="inlineStr">
        <is>
          <t>1 of 2 endpoints located; center uses the located one(s) only</t>
        </is>
      </c>
    </row>
    <row r="155">
      <c r="A155" t="inlineStr">
        <is>
          <t>GPC_110</t>
        </is>
      </c>
      <c r="B155" t="inlineStr">
        <is>
          <t>Georgia Power</t>
        </is>
      </c>
      <c r="C155" t="inlineStr">
        <is>
          <t>GA</t>
        </is>
      </c>
      <c r="D155" t="inlineStr">
        <is>
          <t>GORDON-SANDERSVILLE #1 115KV LINE REBUILD (DEEPSTEP-SAND #6)</t>
        </is>
      </c>
      <c r="E155" t="inlineStr">
        <is>
          <t>GORDON</t>
        </is>
      </c>
      <c r="F155" t="n">
        <v>32.8824706</v>
      </c>
      <c r="G155" t="n">
        <v>-83.31691410000001</v>
      </c>
      <c r="H155" t="inlineStr">
        <is>
          <t>SANDERSVILLE #1</t>
        </is>
      </c>
      <c r="I155" t="n">
        <v>33.0018214</v>
      </c>
      <c r="J155" t="n">
        <v>-82.83272909999999</v>
      </c>
      <c r="K155">
        <f>IF(ISBLANK(I155), F155, IF(ISBLANK(F155), I155, (F155+I155)/2))</f>
        <v/>
      </c>
      <c r="L155">
        <f>IF(ISBLANK(J155), G155, IF(ISBLANK(G155), J155, (G155+J155)/2))</f>
        <v/>
      </c>
      <c r="M155" t="inlineStr">
        <is>
          <t>2030-06-01</t>
        </is>
      </c>
      <c r="N155" t="n">
        <v>0</v>
      </c>
      <c r="R155" t="inlineStr">
        <is>
          <t>low_confidence</t>
        </is>
      </c>
      <c r="S155" t="inlineStr">
        <is>
          <t>confirmed</t>
        </is>
      </c>
      <c r="T155" t="inlineStr">
        <is>
          <t>low_confidence</t>
        </is>
      </c>
      <c r="U155" t="inlineStr">
        <is>
          <t>20428</t>
        </is>
      </c>
      <c r="V155" t="inlineStr">
        <is>
          <t>214</t>
        </is>
      </c>
      <c r="X155" t="inlineStr"/>
    </row>
    <row r="156">
      <c r="A156" t="inlineStr">
        <is>
          <t>GPC_111</t>
        </is>
      </c>
      <c r="B156" t="inlineStr">
        <is>
          <t>Georgia Power</t>
        </is>
      </c>
      <c r="C156" t="inlineStr">
        <is>
          <t>GA</t>
        </is>
      </c>
      <c r="D156" t="inlineStr">
        <is>
          <t>GOSHEN AREA STRATEGIC SOLUTION</t>
        </is>
      </c>
      <c r="E156" t="inlineStr">
        <is>
          <t>GOSHEN AREA STRATEGIC SOLUTION</t>
        </is>
      </c>
      <c r="F156" t="n">
        <v>33.3197599</v>
      </c>
      <c r="G156" t="n">
        <v>-81.9953118</v>
      </c>
      <c r="K156">
        <f>IF(ISBLANK(I156), F156, IF(ISBLANK(F156), I156, (F156+I156)/2))</f>
        <v/>
      </c>
      <c r="L156">
        <f>IF(ISBLANK(J156), G156, IF(ISBLANK(G156), J156, (G156+J156)/2))</f>
        <v/>
      </c>
      <c r="M156" t="inlineStr">
        <is>
          <t>2030-06-01</t>
        </is>
      </c>
      <c r="N156" t="n">
        <v>4</v>
      </c>
      <c r="O156" t="inlineStr">
        <is>
          <t>DESC_43</t>
        </is>
      </c>
      <c r="P156" t="inlineStr">
        <is>
          <t>DESC_35</t>
        </is>
      </c>
      <c r="Q156" t="inlineStr">
        <is>
          <t>DESC_15</t>
        </is>
      </c>
      <c r="R156" t="inlineStr">
        <is>
          <t>confirmed</t>
        </is>
      </c>
      <c r="S156" t="inlineStr">
        <is>
          <t>confirmed</t>
        </is>
      </c>
      <c r="U156" t="inlineStr">
        <is>
          <t>21116</t>
        </is>
      </c>
      <c r="V156" t="inlineStr">
        <is>
          <t>215</t>
        </is>
      </c>
      <c r="X156" t="inlineStr"/>
    </row>
    <row r="157">
      <c r="A157" t="inlineStr">
        <is>
          <t>GPC_112</t>
        </is>
      </c>
      <c r="B157" t="inlineStr">
        <is>
          <t>Georgia Power</t>
        </is>
      </c>
      <c r="C157" t="inlineStr">
        <is>
          <t>GA</t>
        </is>
      </c>
      <c r="D157" t="inlineStr">
        <is>
          <t>JEFFERSON ROAD - WINDER PRIMARY 115KV REBUILD</t>
        </is>
      </c>
      <c r="E157" t="inlineStr">
        <is>
          <t>JEFFERSON ROAD</t>
        </is>
      </c>
      <c r="F157" t="n">
        <v>33.977796</v>
      </c>
      <c r="G157" t="n">
        <v>-83.5794808</v>
      </c>
      <c r="H157" t="inlineStr">
        <is>
          <t>WINDER PRIMARY</t>
        </is>
      </c>
      <c r="I157" t="n">
        <v>34.023516</v>
      </c>
      <c r="J157" t="n">
        <v>-83.7578307</v>
      </c>
      <c r="K157">
        <f>IF(ISBLANK(I157), F157, IF(ISBLANK(F157), I157, (F157+I157)/2))</f>
        <v/>
      </c>
      <c r="L157">
        <f>IF(ISBLANK(J157), G157, IF(ISBLANK(G157), J157, (G157+J157)/2))</f>
        <v/>
      </c>
      <c r="M157" t="inlineStr">
        <is>
          <t>2030-06-01</t>
        </is>
      </c>
      <c r="N157" t="n">
        <v>0</v>
      </c>
      <c r="R157" t="inlineStr">
        <is>
          <t>low_confidence</t>
        </is>
      </c>
      <c r="S157" t="inlineStr">
        <is>
          <t>low_confidence</t>
        </is>
      </c>
      <c r="T157" t="inlineStr">
        <is>
          <t>confirmed</t>
        </is>
      </c>
      <c r="U157" t="inlineStr">
        <is>
          <t>20789</t>
        </is>
      </c>
      <c r="V157" t="inlineStr">
        <is>
          <t>212</t>
        </is>
      </c>
      <c r="X157" t="inlineStr"/>
    </row>
    <row r="158">
      <c r="A158" t="inlineStr">
        <is>
          <t>GPC_113</t>
        </is>
      </c>
      <c r="B158" t="inlineStr">
        <is>
          <t>Georgia Power</t>
        </is>
      </c>
      <c r="C158" t="inlineStr">
        <is>
          <t>GA</t>
        </is>
      </c>
      <c r="D158" t="inlineStr">
        <is>
          <t>KETTLE CREEK PRIMARY - PINE GROVE PRIMARY 115KV REBUILD</t>
        </is>
      </c>
      <c r="E158" t="inlineStr">
        <is>
          <t>KETTLE CREEK PRIMARY</t>
        </is>
      </c>
      <c r="H158" t="inlineStr">
        <is>
          <t>PINE GROVE PRIMARY</t>
        </is>
      </c>
      <c r="I158" t="n">
        <v>30.8816485</v>
      </c>
      <c r="J158" t="n">
        <v>-83.2279869</v>
      </c>
      <c r="K158">
        <f>IF(ISBLANK(I158), F158, IF(ISBLANK(F158), I158, (F158+I158)/2))</f>
        <v/>
      </c>
      <c r="L158">
        <f>IF(ISBLANK(J158), G158, IF(ISBLANK(G158), J158, (G158+J158)/2))</f>
        <v/>
      </c>
      <c r="M158" t="inlineStr">
        <is>
          <t>2030-06-01</t>
        </is>
      </c>
      <c r="N158" t="n">
        <v>0</v>
      </c>
      <c r="R158" t="inlineStr">
        <is>
          <t>confirmed</t>
        </is>
      </c>
      <c r="S158" t="inlineStr">
        <is>
          <t>unlocated</t>
        </is>
      </c>
      <c r="T158" t="inlineStr">
        <is>
          <t>confirmed</t>
        </is>
      </c>
      <c r="U158" t="inlineStr">
        <is>
          <t>20284</t>
        </is>
      </c>
      <c r="V158" t="inlineStr">
        <is>
          <t>216</t>
        </is>
      </c>
      <c r="X158" t="inlineStr">
        <is>
          <t>1 of 2 endpoints located; center uses the located one(s) only</t>
        </is>
      </c>
    </row>
    <row r="159">
      <c r="A159" t="inlineStr">
        <is>
          <t>GPC_114</t>
        </is>
      </c>
      <c r="B159" t="inlineStr">
        <is>
          <t>Georgia Power</t>
        </is>
      </c>
      <c r="C159" t="inlineStr">
        <is>
          <t>GA</t>
        </is>
      </c>
      <c r="D159" t="inlineStr">
        <is>
          <t>NEW CAVENDER DRIVE - TRIBUTARY 230KV LINE</t>
        </is>
      </c>
      <c r="E159" t="inlineStr">
        <is>
          <t>NEW CAVENDER DRIVE</t>
        </is>
      </c>
      <c r="H159" t="inlineStr">
        <is>
          <t>TRIBUTARY</t>
        </is>
      </c>
      <c r="I159" t="n">
        <v>33.7129313</v>
      </c>
      <c r="J159" t="n">
        <v>-84.6426467</v>
      </c>
      <c r="K159">
        <f>IF(ISBLANK(I159), F159, IF(ISBLANK(F159), I159, (F159+I159)/2))</f>
        <v/>
      </c>
      <c r="L159">
        <f>IF(ISBLANK(J159), G159, IF(ISBLANK(G159), J159, (G159+J159)/2))</f>
        <v/>
      </c>
      <c r="M159" t="inlineStr">
        <is>
          <t>2030-06-01</t>
        </is>
      </c>
      <c r="N159" t="n">
        <v>0</v>
      </c>
      <c r="R159" t="inlineStr">
        <is>
          <t>low_confidence</t>
        </is>
      </c>
      <c r="S159" t="inlineStr">
        <is>
          <t>unlocated</t>
        </is>
      </c>
      <c r="T159" t="inlineStr">
        <is>
          <t>low_confidence</t>
        </is>
      </c>
      <c r="U159" t="inlineStr">
        <is>
          <t>20857</t>
        </is>
      </c>
      <c r="V159" t="inlineStr">
        <is>
          <t>201</t>
        </is>
      </c>
      <c r="X159" t="inlineStr">
        <is>
          <t>1 of 2 endpoints located; center uses the located one(s) only</t>
        </is>
      </c>
    </row>
    <row r="160">
      <c r="A160" t="inlineStr">
        <is>
          <t>GPC_115</t>
        </is>
      </c>
      <c r="B160" t="inlineStr">
        <is>
          <t>Georgia Power</t>
        </is>
      </c>
      <c r="C160" t="inlineStr">
        <is>
          <t>GA</t>
        </is>
      </c>
      <c r="D160" t="inlineStr">
        <is>
          <t>NORTH SPA 230KV STRATEGIC PROJECT</t>
        </is>
      </c>
      <c r="E160" t="inlineStr">
        <is>
          <t>NORTH SPA</t>
        </is>
      </c>
      <c r="K160">
        <f>IF(ISBLANK(I160), F160, IF(ISBLANK(F160), I160, (F160+I160)/2))</f>
        <v/>
      </c>
      <c r="L160">
        <f>IF(ISBLANK(J160), G160, IF(ISBLANK(G160), J160, (G160+J160)/2))</f>
        <v/>
      </c>
      <c r="M160" t="inlineStr">
        <is>
          <t>2030-06-01</t>
        </is>
      </c>
      <c r="N160" t="n">
        <v>0</v>
      </c>
      <c r="R160" t="inlineStr">
        <is>
          <t>unlocated</t>
        </is>
      </c>
      <c r="S160" t="inlineStr">
        <is>
          <t>unlocated</t>
        </is>
      </c>
      <c r="U160" t="inlineStr">
        <is>
          <t>21093</t>
        </is>
      </c>
      <c r="V160" t="inlineStr">
        <is>
          <t>214</t>
        </is>
      </c>
      <c r="X160" t="inlineStr">
        <is>
          <t>no endpoint located</t>
        </is>
      </c>
    </row>
    <row r="161">
      <c r="A161" t="inlineStr">
        <is>
          <t>GPC_116</t>
        </is>
      </c>
      <c r="B161" t="inlineStr">
        <is>
          <t>Georgia Power</t>
        </is>
      </c>
      <c r="C161" t="inlineStr">
        <is>
          <t>GA</t>
        </is>
      </c>
      <c r="D161" t="inlineStr">
        <is>
          <t>TALLULAH LODGE - TOCCOA 115 KV REBUILD</t>
        </is>
      </c>
      <c r="E161" t="inlineStr">
        <is>
          <t>TALLULAH LODGE</t>
        </is>
      </c>
      <c r="H161" t="inlineStr">
        <is>
          <t>TOCCOA</t>
        </is>
      </c>
      <c r="I161" t="n">
        <v>34.5809462</v>
      </c>
      <c r="J161" t="n">
        <v>-83.35273410000001</v>
      </c>
      <c r="K161">
        <f>IF(ISBLANK(I161), F161, IF(ISBLANK(F161), I161, (F161+I161)/2))</f>
        <v/>
      </c>
      <c r="L161">
        <f>IF(ISBLANK(J161), G161, IF(ISBLANK(G161), J161, (G161+J161)/2))</f>
        <v/>
      </c>
      <c r="M161" t="inlineStr">
        <is>
          <t>2030-06-01</t>
        </is>
      </c>
      <c r="N161" t="n">
        <v>0</v>
      </c>
      <c r="R161" t="inlineStr">
        <is>
          <t>confirmed</t>
        </is>
      </c>
      <c r="S161" t="inlineStr">
        <is>
          <t>unlocated</t>
        </is>
      </c>
      <c r="T161" t="inlineStr">
        <is>
          <t>confirmed</t>
        </is>
      </c>
      <c r="U161" t="inlineStr">
        <is>
          <t>19995</t>
        </is>
      </c>
      <c r="V161" t="inlineStr">
        <is>
          <t>212</t>
        </is>
      </c>
      <c r="X161" t="inlineStr">
        <is>
          <t>1 of 2 endpoints located; center uses the located one(s) only</t>
        </is>
      </c>
    </row>
    <row r="162">
      <c r="A162" t="inlineStr">
        <is>
          <t>GPC_117</t>
        </is>
      </c>
      <c r="B162" t="inlineStr">
        <is>
          <t>Georgia Power</t>
        </is>
      </c>
      <c r="C162" t="inlineStr">
        <is>
          <t>GA</t>
        </is>
      </c>
      <c r="D162" t="inlineStr">
        <is>
          <t>TRIBUTARY - THORNTON RD 230KV REBUILD</t>
        </is>
      </c>
      <c r="E162" t="inlineStr">
        <is>
          <t>TRIBUTARY</t>
        </is>
      </c>
      <c r="F162" t="n">
        <v>33.7129313</v>
      </c>
      <c r="G162" t="n">
        <v>-84.6426467</v>
      </c>
      <c r="H162" t="inlineStr">
        <is>
          <t>THORNTON RD</t>
        </is>
      </c>
      <c r="K162">
        <f>IF(ISBLANK(I162), F162, IF(ISBLANK(F162), I162, (F162+I162)/2))</f>
        <v/>
      </c>
      <c r="L162">
        <f>IF(ISBLANK(J162), G162, IF(ISBLANK(G162), J162, (G162+J162)/2))</f>
        <v/>
      </c>
      <c r="M162" t="inlineStr">
        <is>
          <t>2030-06-01</t>
        </is>
      </c>
      <c r="N162" t="n">
        <v>0</v>
      </c>
      <c r="R162" t="inlineStr">
        <is>
          <t>low_confidence</t>
        </is>
      </c>
      <c r="S162" t="inlineStr">
        <is>
          <t>low_confidence</t>
        </is>
      </c>
      <c r="T162" t="inlineStr">
        <is>
          <t>unlocated</t>
        </is>
      </c>
      <c r="U162" t="inlineStr">
        <is>
          <t>21098</t>
        </is>
      </c>
      <c r="V162" t="inlineStr">
        <is>
          <t>201</t>
        </is>
      </c>
      <c r="X162" t="inlineStr">
        <is>
          <t>1 of 2 endpoints located; center uses the located one(s) only</t>
        </is>
      </c>
    </row>
    <row r="163">
      <c r="A163" t="inlineStr">
        <is>
          <t>GPC_118</t>
        </is>
      </c>
      <c r="B163" t="inlineStr">
        <is>
          <t>Georgia Power</t>
        </is>
      </c>
      <c r="C163" t="inlineStr">
        <is>
          <t>GA</t>
        </is>
      </c>
      <c r="D163" t="inlineStr">
        <is>
          <t>THOMASTON 230 NEW BUILD SUB</t>
        </is>
      </c>
      <c r="E163" t="inlineStr">
        <is>
          <t>THOMASTON 230 NEW BUILD</t>
        </is>
      </c>
      <c r="F163" t="n">
        <v>32.8999225</v>
      </c>
      <c r="G163" t="n">
        <v>-84.3125168</v>
      </c>
      <c r="K163">
        <f>IF(ISBLANK(I163), F163, IF(ISBLANK(F163), I163, (F163+I163)/2))</f>
        <v/>
      </c>
      <c r="L163">
        <f>IF(ISBLANK(J163), G163, IF(ISBLANK(G163), J163, (G163+J163)/2))</f>
        <v/>
      </c>
      <c r="M163" t="inlineStr">
        <is>
          <t>2030-11-01</t>
        </is>
      </c>
      <c r="N163" t="n">
        <v>0</v>
      </c>
      <c r="R163" t="inlineStr">
        <is>
          <t>low_confidence</t>
        </is>
      </c>
      <c r="S163" t="inlineStr">
        <is>
          <t>low_confidence</t>
        </is>
      </c>
      <c r="U163" t="inlineStr">
        <is>
          <t>20160</t>
        </is>
      </c>
      <c r="V163" t="inlineStr">
        <is>
          <t>213</t>
        </is>
      </c>
      <c r="X163" t="inlineStr"/>
    </row>
    <row r="164">
      <c r="A164" t="inlineStr">
        <is>
          <t>GPC_119</t>
        </is>
      </c>
      <c r="B164" t="inlineStr">
        <is>
          <t>Georgia Power</t>
        </is>
      </c>
      <c r="C164" t="inlineStr">
        <is>
          <t>GA</t>
        </is>
      </c>
      <c r="D164" t="inlineStr">
        <is>
          <t>BAINBRIDGE TRANSMISSION: EAST RIVER ROAD, EAST BAINBRIDGE</t>
        </is>
      </c>
      <c r="E164" t="inlineStr">
        <is>
          <t>BAINBRIDGE</t>
        </is>
      </c>
      <c r="F164" t="n">
        <v>30.9125521</v>
      </c>
      <c r="G164" t="n">
        <v>-84.5669923</v>
      </c>
      <c r="K164">
        <f>IF(ISBLANK(I164), F164, IF(ISBLANK(F164), I164, (F164+I164)/2))</f>
        <v/>
      </c>
      <c r="L164">
        <f>IF(ISBLANK(J164), G164, IF(ISBLANK(G164), J164, (G164+J164)/2))</f>
        <v/>
      </c>
      <c r="M164" t="inlineStr">
        <is>
          <t>2030-12-31</t>
        </is>
      </c>
      <c r="N164" t="n">
        <v>0</v>
      </c>
      <c r="R164" t="inlineStr">
        <is>
          <t>confirmed</t>
        </is>
      </c>
      <c r="S164" t="inlineStr">
        <is>
          <t>confirmed</t>
        </is>
      </c>
      <c r="U164" t="inlineStr">
        <is>
          <t>18848</t>
        </is>
      </c>
      <c r="V164" t="inlineStr">
        <is>
          <t>216</t>
        </is>
      </c>
      <c r="X164" t="inlineStr"/>
    </row>
    <row r="165">
      <c r="A165" t="inlineStr">
        <is>
          <t>GPC_120</t>
        </is>
      </c>
      <c r="B165" t="inlineStr">
        <is>
          <t>Georgia Power</t>
        </is>
      </c>
      <c r="C165" t="inlineStr">
        <is>
          <t>GA</t>
        </is>
      </c>
      <c r="D165" t="inlineStr">
        <is>
          <t>GLENWOOD SPRINGS 115KV CAP BANK</t>
        </is>
      </c>
      <c r="E165" t="inlineStr">
        <is>
          <t>GLENWOOD SPRINGS</t>
        </is>
      </c>
      <c r="K165">
        <f>IF(ISBLANK(I165), F165, IF(ISBLANK(F165), I165, (F165+I165)/2))</f>
        <v/>
      </c>
      <c r="L165">
        <f>IF(ISBLANK(J165), G165, IF(ISBLANK(G165), J165, (G165+J165)/2))</f>
        <v/>
      </c>
      <c r="M165" t="inlineStr">
        <is>
          <t>2030-12-31</t>
        </is>
      </c>
      <c r="N165" t="n">
        <v>0</v>
      </c>
      <c r="R165" t="inlineStr">
        <is>
          <t>unlocated</t>
        </is>
      </c>
      <c r="S165" t="inlineStr">
        <is>
          <t>unlocated</t>
        </is>
      </c>
      <c r="U165" t="inlineStr">
        <is>
          <t>19626</t>
        </is>
      </c>
      <c r="V165" t="inlineStr">
        <is>
          <t>214</t>
        </is>
      </c>
      <c r="X165" t="inlineStr">
        <is>
          <t>no endpoint located</t>
        </is>
      </c>
    </row>
    <row r="166">
      <c r="A166" t="inlineStr">
        <is>
          <t>GPC_121</t>
        </is>
      </c>
      <c r="B166" t="inlineStr">
        <is>
          <t>Georgia Power</t>
        </is>
      </c>
      <c r="C166" t="inlineStr">
        <is>
          <t>GA</t>
        </is>
      </c>
      <c r="D166" t="inlineStr">
        <is>
          <t>EAST POINT - UNION CITY (WHITE) 230KV REBUILD</t>
        </is>
      </c>
      <c r="E166" t="inlineStr">
        <is>
          <t>EAST POINT</t>
        </is>
      </c>
      <c r="F166" t="n">
        <v>33.6763499</v>
      </c>
      <c r="G166" t="n">
        <v>-84.4629659</v>
      </c>
      <c r="H166" t="inlineStr">
        <is>
          <t>UNION CITY (WHITE)</t>
        </is>
      </c>
      <c r="I166" t="n">
        <v>33.5870558</v>
      </c>
      <c r="J166" t="n">
        <v>-84.5424299</v>
      </c>
      <c r="K166">
        <f>IF(ISBLANK(I166), F166, IF(ISBLANK(F166), I166, (F166+I166)/2))</f>
        <v/>
      </c>
      <c r="L166">
        <f>IF(ISBLANK(J166), G166, IF(ISBLANK(G166), J166, (G166+J166)/2))</f>
        <v/>
      </c>
      <c r="M166" t="inlineStr">
        <is>
          <t>2031-05-01</t>
        </is>
      </c>
      <c r="N166" t="n">
        <v>0</v>
      </c>
      <c r="R166" t="inlineStr">
        <is>
          <t>low_confidence</t>
        </is>
      </c>
      <c r="S166" t="inlineStr">
        <is>
          <t>confirmed</t>
        </is>
      </c>
      <c r="T166" t="inlineStr">
        <is>
          <t>low_confidence</t>
        </is>
      </c>
      <c r="U166" t="inlineStr">
        <is>
          <t>20690</t>
        </is>
      </c>
      <c r="V166" t="inlineStr">
        <is>
          <t>208</t>
        </is>
      </c>
      <c r="X166" t="inlineStr"/>
    </row>
    <row r="167">
      <c r="A167" t="inlineStr">
        <is>
          <t>GPC_122</t>
        </is>
      </c>
      <c r="B167" t="inlineStr">
        <is>
          <t>Georgia Power</t>
        </is>
      </c>
      <c r="C167" t="inlineStr">
        <is>
          <t>GA</t>
        </is>
      </c>
      <c r="D167" t="inlineStr">
        <is>
          <t>AVERY - HOPEWELL 115KV RECONDUCTOR</t>
        </is>
      </c>
      <c r="E167" t="inlineStr">
        <is>
          <t>AVERY</t>
        </is>
      </c>
      <c r="F167" t="n">
        <v>34.2169889</v>
      </c>
      <c r="G167" t="n">
        <v>-84.38576430000001</v>
      </c>
      <c r="H167" t="inlineStr">
        <is>
          <t>HOPEWELL</t>
        </is>
      </c>
      <c r="I167" t="n">
        <v>34.1741923</v>
      </c>
      <c r="J167" t="n">
        <v>-84.2834055</v>
      </c>
      <c r="K167">
        <f>IF(ISBLANK(I167), F167, IF(ISBLANK(F167), I167, (F167+I167)/2))</f>
        <v/>
      </c>
      <c r="L167">
        <f>IF(ISBLANK(J167), G167, IF(ISBLANK(G167), J167, (G167+J167)/2))</f>
        <v/>
      </c>
      <c r="M167" t="inlineStr">
        <is>
          <t>2031-06-01</t>
        </is>
      </c>
      <c r="N167" t="n">
        <v>0</v>
      </c>
      <c r="R167" t="inlineStr">
        <is>
          <t>confirmed</t>
        </is>
      </c>
      <c r="S167" t="inlineStr">
        <is>
          <t>confirmed</t>
        </is>
      </c>
      <c r="T167" t="inlineStr">
        <is>
          <t>confirmed</t>
        </is>
      </c>
      <c r="U167" t="inlineStr">
        <is>
          <t>19632</t>
        </is>
      </c>
      <c r="V167" t="inlineStr">
        <is>
          <t>202</t>
        </is>
      </c>
      <c r="X167" t="inlineStr"/>
    </row>
    <row r="168">
      <c r="A168" t="inlineStr">
        <is>
          <t>GPC_123</t>
        </is>
      </c>
      <c r="B168" t="inlineStr">
        <is>
          <t>Georgia Power</t>
        </is>
      </c>
      <c r="C168" t="inlineStr">
        <is>
          <t>GA</t>
        </is>
      </c>
      <c r="D168" t="inlineStr">
        <is>
          <t>BOWEN #10 500/230KV AUTOBANK REPLACEMENT</t>
        </is>
      </c>
      <c r="E168" t="inlineStr">
        <is>
          <t>BOWEN #10 AUTOBANK REPLACEMENT</t>
        </is>
      </c>
      <c r="K168">
        <f>IF(ISBLANK(I168), F168, IF(ISBLANK(F168), I168, (F168+I168)/2))</f>
        <v/>
      </c>
      <c r="L168">
        <f>IF(ISBLANK(J168), G168, IF(ISBLANK(G168), J168, (G168+J168)/2))</f>
        <v/>
      </c>
      <c r="M168" t="inlineStr">
        <is>
          <t>2031-06-01</t>
        </is>
      </c>
      <c r="N168" t="n">
        <v>0</v>
      </c>
      <c r="R168" t="inlineStr">
        <is>
          <t>unlocated</t>
        </is>
      </c>
      <c r="S168" t="inlineStr">
        <is>
          <t>unlocated</t>
        </is>
      </c>
      <c r="U168" t="inlineStr">
        <is>
          <t>10811</t>
        </is>
      </c>
      <c r="V168" t="inlineStr">
        <is>
          <t>211</t>
        </is>
      </c>
      <c r="X168" t="inlineStr">
        <is>
          <t>no endpoint located</t>
        </is>
      </c>
    </row>
    <row r="169">
      <c r="A169" t="inlineStr">
        <is>
          <t>GPC_124</t>
        </is>
      </c>
      <c r="B169" t="inlineStr">
        <is>
          <t>Georgia Power</t>
        </is>
      </c>
      <c r="C169" t="inlineStr">
        <is>
          <t>GA</t>
        </is>
      </c>
      <c r="D169" t="inlineStr">
        <is>
          <t>HATCH - WADLEY 500 KV LINE STRATEGIC PROJECT</t>
        </is>
      </c>
      <c r="E169" t="inlineStr">
        <is>
          <t>HATCH</t>
        </is>
      </c>
      <c r="H169" t="inlineStr">
        <is>
          <t>WADLEY</t>
        </is>
      </c>
      <c r="I169" t="n">
        <v>32.8846571</v>
      </c>
      <c r="J169" t="n">
        <v>-82.4158724</v>
      </c>
      <c r="K169">
        <f>IF(ISBLANK(I169), F169, IF(ISBLANK(F169), I169, (F169+I169)/2))</f>
        <v/>
      </c>
      <c r="L169">
        <f>IF(ISBLANK(J169), G169, IF(ISBLANK(G169), J169, (G169+J169)/2))</f>
        <v/>
      </c>
      <c r="M169" t="inlineStr">
        <is>
          <t>2031-06-01</t>
        </is>
      </c>
      <c r="N169" t="n">
        <v>0</v>
      </c>
      <c r="R169" t="inlineStr">
        <is>
          <t>confirmed</t>
        </is>
      </c>
      <c r="S169" t="inlineStr">
        <is>
          <t>unlocated</t>
        </is>
      </c>
      <c r="T169" t="inlineStr">
        <is>
          <t>confirmed</t>
        </is>
      </c>
      <c r="U169" t="inlineStr">
        <is>
          <t>20756</t>
        </is>
      </c>
      <c r="V169" t="inlineStr">
        <is>
          <t>215</t>
        </is>
      </c>
      <c r="X169" t="inlineStr">
        <is>
          <t>1 of 2 endpoints located; center uses the located one(s) only</t>
        </is>
      </c>
    </row>
    <row r="170">
      <c r="A170" t="inlineStr">
        <is>
          <t>GPC_125</t>
        </is>
      </c>
      <c r="B170" t="inlineStr">
        <is>
          <t>Georgia Power</t>
        </is>
      </c>
      <c r="C170" t="inlineStr">
        <is>
          <t>GA</t>
        </is>
      </c>
      <c r="D170" t="inlineStr">
        <is>
          <t>SAV: COLEMAN - MELDRIM 115KV LINE REBUILD</t>
        </is>
      </c>
      <c r="E170" t="inlineStr">
        <is>
          <t>COLEMAN</t>
        </is>
      </c>
      <c r="F170" t="n">
        <v>32.0973197</v>
      </c>
      <c r="G170" t="n">
        <v>-81.116077</v>
      </c>
      <c r="H170" t="inlineStr">
        <is>
          <t>MELDRIM</t>
        </is>
      </c>
      <c r="I170" t="n">
        <v>32.1552821</v>
      </c>
      <c r="J170" t="n">
        <v>-81.368377</v>
      </c>
      <c r="K170">
        <f>IF(ISBLANK(I170), F170, IF(ISBLANK(F170), I170, (F170+I170)/2))</f>
        <v/>
      </c>
      <c r="L170">
        <f>IF(ISBLANK(J170), G170, IF(ISBLANK(G170), J170, (G170+J170)/2))</f>
        <v/>
      </c>
      <c r="M170" t="inlineStr">
        <is>
          <t>2032-06-01</t>
        </is>
      </c>
      <c r="N170" t="n">
        <v>2</v>
      </c>
      <c r="O170" t="inlineStr">
        <is>
          <t>DESC_23</t>
        </is>
      </c>
      <c r="P170" t="inlineStr">
        <is>
          <t>DESC_10</t>
        </is>
      </c>
      <c r="R170" t="inlineStr">
        <is>
          <t>confirmed</t>
        </is>
      </c>
      <c r="S170" t="inlineStr">
        <is>
          <t>confirmed</t>
        </is>
      </c>
      <c r="T170" t="inlineStr">
        <is>
          <t>confirmed</t>
        </is>
      </c>
      <c r="U170" t="inlineStr">
        <is>
          <t>20784</t>
        </is>
      </c>
      <c r="V170" t="inlineStr">
        <is>
          <t>219</t>
        </is>
      </c>
      <c r="X170" t="inlineStr"/>
    </row>
    <row r="171">
      <c r="A171" t="inlineStr">
        <is>
          <t>GPC_126</t>
        </is>
      </c>
      <c r="B171" t="inlineStr">
        <is>
          <t>Georgia Power</t>
        </is>
      </c>
      <c r="C171" t="inlineStr">
        <is>
          <t>GA</t>
        </is>
      </c>
      <c r="D171" t="inlineStr">
        <is>
          <t>ARKWRIGHT BUS AND JUMPER REPLACEMENT</t>
        </is>
      </c>
      <c r="E171" t="inlineStr">
        <is>
          <t>ARKWRIGHT BUS AND JUMPER REPLACEMENT</t>
        </is>
      </c>
      <c r="F171" t="n">
        <v>32.9272219</v>
      </c>
      <c r="G171" t="n">
        <v>-83.69887799999999</v>
      </c>
      <c r="K171">
        <f>IF(ISBLANK(I171), F171, IF(ISBLANK(F171), I171, (F171+I171)/2))</f>
        <v/>
      </c>
      <c r="L171">
        <f>IF(ISBLANK(J171), G171, IF(ISBLANK(G171), J171, (G171+J171)/2))</f>
        <v/>
      </c>
      <c r="M171" t="inlineStr">
        <is>
          <t>2033-06-01</t>
        </is>
      </c>
      <c r="N171" t="n">
        <v>0</v>
      </c>
      <c r="R171" t="inlineStr">
        <is>
          <t>low_confidence</t>
        </is>
      </c>
      <c r="S171" t="inlineStr">
        <is>
          <t>low_confidence</t>
        </is>
      </c>
      <c r="U171" t="inlineStr">
        <is>
          <t>20767</t>
        </is>
      </c>
      <c r="V171" t="inlineStr">
        <is>
          <t>214</t>
        </is>
      </c>
      <c r="X171" t="inlineStr"/>
    </row>
    <row r="172">
      <c r="A172" t="inlineStr">
        <is>
          <t>GPC_127</t>
        </is>
      </c>
      <c r="B172" t="inlineStr">
        <is>
          <t>Georgia Power</t>
        </is>
      </c>
      <c r="C172" t="inlineStr">
        <is>
          <t>GA</t>
        </is>
      </c>
      <c r="D172" t="inlineStr">
        <is>
          <t>BAY CREEK - CONYERS 230KV LIMITING ELEMENT REPLACEMENT</t>
        </is>
      </c>
      <c r="E172" t="inlineStr">
        <is>
          <t>BAY CREEK</t>
        </is>
      </c>
      <c r="F172" t="n">
        <v>33.8681196</v>
      </c>
      <c r="G172" t="n">
        <v>-83.8823506</v>
      </c>
      <c r="H172" t="inlineStr">
        <is>
          <t>CONYERS</t>
        </is>
      </c>
      <c r="I172" t="n">
        <v>33.6676103</v>
      </c>
      <c r="J172" t="n">
        <v>-84.01769040000001</v>
      </c>
      <c r="K172">
        <f>IF(ISBLANK(I172), F172, IF(ISBLANK(F172), I172, (F172+I172)/2))</f>
        <v/>
      </c>
      <c r="L172">
        <f>IF(ISBLANK(J172), G172, IF(ISBLANK(G172), J172, (G172+J172)/2))</f>
        <v/>
      </c>
      <c r="M172" t="inlineStr">
        <is>
          <t>2033-06-01</t>
        </is>
      </c>
      <c r="N172" t="n">
        <v>0</v>
      </c>
      <c r="R172" t="inlineStr">
        <is>
          <t>low_confidence</t>
        </is>
      </c>
      <c r="S172" t="inlineStr">
        <is>
          <t>confirmed</t>
        </is>
      </c>
      <c r="T172" t="inlineStr">
        <is>
          <t>low_confidence</t>
        </is>
      </c>
      <c r="U172" t="inlineStr">
        <is>
          <t>20758</t>
        </is>
      </c>
      <c r="V172" t="inlineStr">
        <is>
          <t>202</t>
        </is>
      </c>
      <c r="X172" t="inlineStr"/>
    </row>
    <row r="173">
      <c r="A173" t="inlineStr">
        <is>
          <t>GPC_128</t>
        </is>
      </c>
      <c r="B173" t="inlineStr">
        <is>
          <t>Georgia Power</t>
        </is>
      </c>
      <c r="C173" t="inlineStr">
        <is>
          <t>GA</t>
        </is>
      </c>
      <c r="D173" t="inlineStr">
        <is>
          <t>EVANS PRIMARY - THURMOND DAM (USA) #5 115KV REBUILD</t>
        </is>
      </c>
      <c r="E173" t="inlineStr">
        <is>
          <t>EVANS PRIMARY</t>
        </is>
      </c>
      <c r="F173" t="n">
        <v>33.543994</v>
      </c>
      <c r="G173" t="n">
        <v>-82.168648</v>
      </c>
      <c r="H173" t="inlineStr">
        <is>
          <t>THURMOND DAM (USA) #5</t>
        </is>
      </c>
      <c r="I173" t="n">
        <v>33.660127</v>
      </c>
      <c r="J173" t="n">
        <v>-82.195931</v>
      </c>
      <c r="K173">
        <f>IF(ISBLANK(I173), F173, IF(ISBLANK(F173), I173, (F173+I173)/2))</f>
        <v/>
      </c>
      <c r="L173">
        <f>IF(ISBLANK(J173), G173, IF(ISBLANK(G173), J173, (G173+J173)/2))</f>
        <v/>
      </c>
      <c r="M173" t="inlineStr">
        <is>
          <t>2033-06-01</t>
        </is>
      </c>
      <c r="N173" t="n">
        <v>5</v>
      </c>
      <c r="O173" t="inlineStr">
        <is>
          <t>DESC_31</t>
        </is>
      </c>
      <c r="P173" t="inlineStr">
        <is>
          <t>DESC_14</t>
        </is>
      </c>
      <c r="Q173" t="inlineStr">
        <is>
          <t>DESC_15</t>
        </is>
      </c>
      <c r="R173" t="inlineStr">
        <is>
          <t>confirmed</t>
        </is>
      </c>
      <c r="S173" t="inlineStr">
        <is>
          <t>confirmed</t>
        </is>
      </c>
      <c r="T173" t="inlineStr">
        <is>
          <t>confirmed</t>
        </is>
      </c>
      <c r="U173" t="inlineStr">
        <is>
          <t>20793</t>
        </is>
      </c>
      <c r="V173" t="inlineStr">
        <is>
          <t>215</t>
        </is>
      </c>
      <c r="X173" t="inlineStr"/>
    </row>
    <row r="174">
      <c r="A174" t="inlineStr">
        <is>
          <t>GPC_129</t>
        </is>
      </c>
      <c r="B174" t="inlineStr">
        <is>
          <t>Georgia Power</t>
        </is>
      </c>
      <c r="C174" t="inlineStr">
        <is>
          <t>GA</t>
        </is>
      </c>
      <c r="D174" t="inlineStr">
        <is>
          <t>EVANS PRIMARY - THURMOND DAM (USA) #6 115KV REBUILD</t>
        </is>
      </c>
      <c r="E174" t="inlineStr">
        <is>
          <t>EVANS PRIMARY</t>
        </is>
      </c>
      <c r="F174" t="n">
        <v>33.543994</v>
      </c>
      <c r="G174" t="n">
        <v>-82.168648</v>
      </c>
      <c r="H174" t="inlineStr">
        <is>
          <t>THURMOND DAM (USA) #6</t>
        </is>
      </c>
      <c r="I174" t="n">
        <v>33.660127</v>
      </c>
      <c r="J174" t="n">
        <v>-82.195931</v>
      </c>
      <c r="K174">
        <f>IF(ISBLANK(I174), F174, IF(ISBLANK(F174), I174, (F174+I174)/2))</f>
        <v/>
      </c>
      <c r="L174">
        <f>IF(ISBLANK(J174), G174, IF(ISBLANK(G174), J174, (G174+J174)/2))</f>
        <v/>
      </c>
      <c r="M174" t="inlineStr">
        <is>
          <t>2033-06-01</t>
        </is>
      </c>
      <c r="N174" t="n">
        <v>5</v>
      </c>
      <c r="O174" t="inlineStr">
        <is>
          <t>DESC_31</t>
        </is>
      </c>
      <c r="P174" t="inlineStr">
        <is>
          <t>DESC_14</t>
        </is>
      </c>
      <c r="Q174" t="inlineStr">
        <is>
          <t>DESC_15</t>
        </is>
      </c>
      <c r="R174" t="inlineStr">
        <is>
          <t>confirmed</t>
        </is>
      </c>
      <c r="S174" t="inlineStr">
        <is>
          <t>confirmed</t>
        </is>
      </c>
      <c r="T174" t="inlineStr">
        <is>
          <t>confirmed</t>
        </is>
      </c>
      <c r="U174" t="inlineStr">
        <is>
          <t>20794</t>
        </is>
      </c>
      <c r="V174" t="inlineStr">
        <is>
          <t>215</t>
        </is>
      </c>
      <c r="X174" t="inlineStr"/>
    </row>
    <row r="175">
      <c r="A175" t="inlineStr">
        <is>
          <t>GPC_130</t>
        </is>
      </c>
      <c r="B175" t="inlineStr">
        <is>
          <t>Georgia Power</t>
        </is>
      </c>
      <c r="C175" t="inlineStr">
        <is>
          <t>GA</t>
        </is>
      </c>
      <c r="D175" t="inlineStr">
        <is>
          <t>MCEVER ROAD - SHOAL CREEK 115KV REBUILD PHASE III</t>
        </is>
      </c>
      <c r="E175" t="inlineStr">
        <is>
          <t>MCEVER ROAD</t>
        </is>
      </c>
      <c r="F175" t="n">
        <v>34.2728832</v>
      </c>
      <c r="G175" t="n">
        <v>-83.8738012</v>
      </c>
      <c r="H175" t="inlineStr">
        <is>
          <t>SHOAL CREEK</t>
        </is>
      </c>
      <c r="K175">
        <f>IF(ISBLANK(I175), F175, IF(ISBLANK(F175), I175, (F175+I175)/2))</f>
        <v/>
      </c>
      <c r="L175">
        <f>IF(ISBLANK(J175), G175, IF(ISBLANK(G175), J175, (G175+J175)/2))</f>
        <v/>
      </c>
      <c r="M175" t="inlineStr">
        <is>
          <t>2033-06-01</t>
        </is>
      </c>
      <c r="N175" t="n">
        <v>0</v>
      </c>
      <c r="R175" t="inlineStr">
        <is>
          <t>confirmed</t>
        </is>
      </c>
      <c r="S175" t="inlineStr">
        <is>
          <t>confirmed</t>
        </is>
      </c>
      <c r="T175" t="inlineStr">
        <is>
          <t>unlocated</t>
        </is>
      </c>
      <c r="U175" t="inlineStr">
        <is>
          <t>21053</t>
        </is>
      </c>
      <c r="V175" t="inlineStr">
        <is>
          <t>212</t>
        </is>
      </c>
      <c r="X175" t="inlineStr">
        <is>
          <t>1 of 2 endpoints located; center uses the located one(s) only</t>
        </is>
      </c>
    </row>
    <row r="176">
      <c r="A176" t="inlineStr">
        <is>
          <t>GPC_131</t>
        </is>
      </c>
      <c r="B176" t="inlineStr">
        <is>
          <t>Georgia Power</t>
        </is>
      </c>
      <c r="C176" t="inlineStr">
        <is>
          <t>GA</t>
        </is>
      </c>
      <c r="D176" t="inlineStr">
        <is>
          <t>MCGRAU FORD - MIDDLE FORK 500KV LINE PROJECT</t>
        </is>
      </c>
      <c r="E176" t="inlineStr">
        <is>
          <t>MCGRAU FORD</t>
        </is>
      </c>
      <c r="F176" t="n">
        <v>34.3264526</v>
      </c>
      <c r="G176" t="n">
        <v>-84.3370065</v>
      </c>
      <c r="H176" t="inlineStr">
        <is>
          <t>MIDDLE FORK</t>
        </is>
      </c>
      <c r="K176">
        <f>IF(ISBLANK(I176), F176, IF(ISBLANK(F176), I176, (F176+I176)/2))</f>
        <v/>
      </c>
      <c r="L176">
        <f>IF(ISBLANK(J176), G176, IF(ISBLANK(G176), J176, (G176+J176)/2))</f>
        <v/>
      </c>
      <c r="M176" t="inlineStr">
        <is>
          <t>2033-06-01</t>
        </is>
      </c>
      <c r="N176" t="n">
        <v>0</v>
      </c>
      <c r="R176" t="inlineStr">
        <is>
          <t>confirmed</t>
        </is>
      </c>
      <c r="S176" t="inlineStr">
        <is>
          <t>confirmed</t>
        </is>
      </c>
      <c r="T176" t="inlineStr">
        <is>
          <t>unlocated</t>
        </is>
      </c>
      <c r="U176" t="inlineStr">
        <is>
          <t>09661</t>
        </is>
      </c>
      <c r="V176" t="inlineStr">
        <is>
          <t>212</t>
        </is>
      </c>
      <c r="X176" t="inlineStr">
        <is>
          <t>1 of 2 endpoints located; center uses the located one(s) only</t>
        </is>
      </c>
    </row>
    <row r="177">
      <c r="A177" t="inlineStr">
        <is>
          <t>GPC_132</t>
        </is>
      </c>
      <c r="B177" t="inlineStr">
        <is>
          <t>Georgia Power</t>
        </is>
      </c>
      <c r="C177" t="inlineStr">
        <is>
          <t>GA</t>
        </is>
      </c>
      <c r="D177" t="inlineStr">
        <is>
          <t>SAV: MELDRIM BANK D REPLACEMENT</t>
        </is>
      </c>
      <c r="E177" t="inlineStr">
        <is>
          <t>MELDRIM BANK D REPLACEMENT</t>
        </is>
      </c>
      <c r="F177" t="n">
        <v>32.1552821</v>
      </c>
      <c r="G177" t="n">
        <v>-81.368377</v>
      </c>
      <c r="K177">
        <f>IF(ISBLANK(I177), F177, IF(ISBLANK(F177), I177, (F177+I177)/2))</f>
        <v/>
      </c>
      <c r="L177">
        <f>IF(ISBLANK(J177), G177, IF(ISBLANK(G177), J177, (G177+J177)/2))</f>
        <v/>
      </c>
      <c r="M177" t="inlineStr">
        <is>
          <t>2033-06-01</t>
        </is>
      </c>
      <c r="N177" t="n">
        <v>1</v>
      </c>
      <c r="O177" t="inlineStr">
        <is>
          <t>DESC_23</t>
        </is>
      </c>
      <c r="R177" t="inlineStr">
        <is>
          <t>confirmed</t>
        </is>
      </c>
      <c r="S177" t="inlineStr">
        <is>
          <t>confirmed</t>
        </is>
      </c>
      <c r="U177" t="inlineStr">
        <is>
          <t>20796</t>
        </is>
      </c>
      <c r="V177" t="inlineStr">
        <is>
          <t>219</t>
        </is>
      </c>
      <c r="X177" t="inlineStr"/>
    </row>
    <row r="178">
      <c r="A178" t="inlineStr">
        <is>
          <t>GPC_133</t>
        </is>
      </c>
      <c r="B178" t="inlineStr">
        <is>
          <t>Georgia Power</t>
        </is>
      </c>
      <c r="C178" t="inlineStr">
        <is>
          <t>GA</t>
        </is>
      </c>
      <c r="D178" t="inlineStr">
        <is>
          <t>THOMSON PRIMARY 230/115KV SECOND TRANSFORMER</t>
        </is>
      </c>
      <c r="E178" t="inlineStr">
        <is>
          <t>THOMSON PRIMARY SECOND TRANSFORMER</t>
        </is>
      </c>
      <c r="F178" t="n">
        <v>33.453955</v>
      </c>
      <c r="G178" t="n">
        <v>-82.414219</v>
      </c>
      <c r="K178">
        <f>IF(ISBLANK(I178), F178, IF(ISBLANK(F178), I178, (F178+I178)/2))</f>
        <v/>
      </c>
      <c r="L178">
        <f>IF(ISBLANK(J178), G178, IF(ISBLANK(G178), J178, (G178+J178)/2))</f>
        <v/>
      </c>
      <c r="M178" t="inlineStr">
        <is>
          <t>2033-06-01</t>
        </is>
      </c>
      <c r="N178" t="n">
        <v>3</v>
      </c>
      <c r="O178" t="inlineStr">
        <is>
          <t>DESC_31</t>
        </is>
      </c>
      <c r="P178" t="inlineStr">
        <is>
          <t>DESC_14</t>
        </is>
      </c>
      <c r="Q178" t="inlineStr">
        <is>
          <t>DESC_15</t>
        </is>
      </c>
      <c r="R178" t="inlineStr">
        <is>
          <t>confirmed</t>
        </is>
      </c>
      <c r="S178" t="inlineStr">
        <is>
          <t>confirmed</t>
        </is>
      </c>
      <c r="U178" t="inlineStr">
        <is>
          <t>14222</t>
        </is>
      </c>
      <c r="V178" t="inlineStr">
        <is>
          <t>215</t>
        </is>
      </c>
      <c r="X178" t="inlineStr"/>
    </row>
    <row r="179">
      <c r="A179" t="inlineStr">
        <is>
          <t>GPC_134</t>
        </is>
      </c>
      <c r="B179" t="inlineStr">
        <is>
          <t>Georgia Power</t>
        </is>
      </c>
      <c r="C179" t="inlineStr">
        <is>
          <t>GA</t>
        </is>
      </c>
      <c r="D179" t="inlineStr">
        <is>
          <t>WINDER PRIMARY 230KV BUS 1-2 PARALLEL BUS-TIE INSTALLATION</t>
        </is>
      </c>
      <c r="E179" t="inlineStr">
        <is>
          <t>WINDER PRIMARY</t>
        </is>
      </c>
      <c r="F179" t="n">
        <v>33.9954594</v>
      </c>
      <c r="G179" t="n">
        <v>-83.7531307</v>
      </c>
      <c r="K179">
        <f>IF(ISBLANK(I179), F179, IF(ISBLANK(F179), I179, (F179+I179)/2))</f>
        <v/>
      </c>
      <c r="L179">
        <f>IF(ISBLANK(J179), G179, IF(ISBLANK(G179), J179, (G179+J179)/2))</f>
        <v/>
      </c>
      <c r="M179" t="inlineStr">
        <is>
          <t>2033-06-01</t>
        </is>
      </c>
      <c r="N179" t="n">
        <v>0</v>
      </c>
      <c r="R179" t="inlineStr">
        <is>
          <t>confirmed</t>
        </is>
      </c>
      <c r="S179" t="inlineStr">
        <is>
          <t>confirmed</t>
        </is>
      </c>
      <c r="U179" t="inlineStr">
        <is>
          <t>20759</t>
        </is>
      </c>
      <c r="V179" t="inlineStr">
        <is>
          <t>202</t>
        </is>
      </c>
      <c r="X179" t="inlineStr"/>
    </row>
    <row r="180">
      <c r="A180" t="inlineStr">
        <is>
          <t>GPC_135</t>
        </is>
      </c>
      <c r="B180" t="inlineStr">
        <is>
          <t>Georgia Power</t>
        </is>
      </c>
      <c r="C180" t="inlineStr">
        <is>
          <t>GA</t>
        </is>
      </c>
      <c r="D180" t="inlineStr">
        <is>
          <t>PINE GROVE PRIMARY - WEST VALDOSTA 115 KV RECONDUCTOR</t>
        </is>
      </c>
      <c r="E180" t="inlineStr">
        <is>
          <t>PINE GROVE PRIMARY</t>
        </is>
      </c>
      <c r="F180" t="n">
        <v>30.8816485</v>
      </c>
      <c r="G180" t="n">
        <v>-83.2279869</v>
      </c>
      <c r="H180" t="inlineStr">
        <is>
          <t>WEST VALDOSTA</t>
        </is>
      </c>
      <c r="I180" t="n">
        <v>30.846057</v>
      </c>
      <c r="J180" t="n">
        <v>-83.2543359</v>
      </c>
      <c r="K180">
        <f>IF(ISBLANK(I180), F180, IF(ISBLANK(F180), I180, (F180+I180)/2))</f>
        <v/>
      </c>
      <c r="L180">
        <f>IF(ISBLANK(J180), G180, IF(ISBLANK(G180), J180, (G180+J180)/2))</f>
        <v/>
      </c>
      <c r="M180" t="inlineStr">
        <is>
          <t>2033-12-31</t>
        </is>
      </c>
      <c r="N180" t="n">
        <v>0</v>
      </c>
      <c r="R180" t="inlineStr">
        <is>
          <t>low_confidence</t>
        </is>
      </c>
      <c r="S180" t="inlineStr">
        <is>
          <t>confirmed</t>
        </is>
      </c>
      <c r="T180" t="inlineStr">
        <is>
          <t>low_confidence</t>
        </is>
      </c>
      <c r="U180" t="inlineStr">
        <is>
          <t>10487</t>
        </is>
      </c>
      <c r="V180" t="inlineStr">
        <is>
          <t>216</t>
        </is>
      </c>
      <c r="X180" t="inlineStr"/>
    </row>
    <row r="181">
      <c r="A181" t="inlineStr">
        <is>
          <t>GPC_136</t>
        </is>
      </c>
      <c r="B181" t="inlineStr">
        <is>
          <t>Georgia Power</t>
        </is>
      </c>
      <c r="C181" t="inlineStr">
        <is>
          <t>GA</t>
        </is>
      </c>
      <c r="D181" t="inlineStr">
        <is>
          <t>DAWSON CROSSING - GAINESVILLE #1 115 KV</t>
        </is>
      </c>
      <c r="E181" t="inlineStr">
        <is>
          <t>DAWSON CROSSING</t>
        </is>
      </c>
      <c r="F181" t="n">
        <v>34.3781185</v>
      </c>
      <c r="G181" t="n">
        <v>-84.1335754</v>
      </c>
      <c r="H181" t="inlineStr">
        <is>
          <t>GAINESVILLE #1</t>
        </is>
      </c>
      <c r="I181" t="n">
        <v>34.263022</v>
      </c>
      <c r="J181" t="n">
        <v>-83.8096728</v>
      </c>
      <c r="K181">
        <f>IF(ISBLANK(I181), F181, IF(ISBLANK(F181), I181, (F181+I181)/2))</f>
        <v/>
      </c>
      <c r="L181">
        <f>IF(ISBLANK(J181), G181, IF(ISBLANK(G181), J181, (G181+J181)/2))</f>
        <v/>
      </c>
      <c r="M181" t="inlineStr">
        <is>
          <t>2034-06-01</t>
        </is>
      </c>
      <c r="N181" t="n">
        <v>0</v>
      </c>
      <c r="R181" t="inlineStr">
        <is>
          <t>confirmed</t>
        </is>
      </c>
      <c r="S181" t="inlineStr">
        <is>
          <t>confirmed</t>
        </is>
      </c>
      <c r="T181" t="inlineStr">
        <is>
          <t>confirmed</t>
        </is>
      </c>
      <c r="U181" t="inlineStr">
        <is>
          <t>18700</t>
        </is>
      </c>
      <c r="V181" t="inlineStr">
        <is>
          <t>212</t>
        </is>
      </c>
      <c r="X181" t="inlineStr"/>
    </row>
    <row r="182">
      <c r="A182" t="inlineStr">
        <is>
          <t>GPC_137</t>
        </is>
      </c>
      <c r="B182" t="inlineStr">
        <is>
          <t>Georgia Power</t>
        </is>
      </c>
      <c r="C182" t="inlineStr">
        <is>
          <t>GA</t>
        </is>
      </c>
      <c r="D182" t="inlineStr">
        <is>
          <t>SAV: LITTLE OGEECHEE 230/115KV BANK REPLACEMENT</t>
        </is>
      </c>
      <c r="E182" t="inlineStr">
        <is>
          <t>LITTLE OGEECHEE BANK REPLACEMENT</t>
        </is>
      </c>
      <c r="F182" t="n">
        <v>32.0067859</v>
      </c>
      <c r="G182" t="n">
        <v>-81.2531513</v>
      </c>
      <c r="K182">
        <f>IF(ISBLANK(I182), F182, IF(ISBLANK(F182), I182, (F182+I182)/2))</f>
        <v/>
      </c>
      <c r="L182">
        <f>IF(ISBLANK(J182), G182, IF(ISBLANK(G182), J182, (G182+J182)/2))</f>
        <v/>
      </c>
      <c r="M182" t="inlineStr">
        <is>
          <t>2034-06-01</t>
        </is>
      </c>
      <c r="N182" t="n">
        <v>0</v>
      </c>
      <c r="R182" t="inlineStr">
        <is>
          <t>confirmed</t>
        </is>
      </c>
      <c r="S182" t="inlineStr">
        <is>
          <t>confirmed</t>
        </is>
      </c>
      <c r="U182" t="inlineStr">
        <is>
          <t>20787</t>
        </is>
      </c>
      <c r="V182" t="inlineStr">
        <is>
          <t>219</t>
        </is>
      </c>
      <c r="X182" t="inlineStr"/>
    </row>
    <row r="183">
      <c r="A183" t="inlineStr">
        <is>
          <t>GPC_138</t>
        </is>
      </c>
      <c r="B183" t="inlineStr">
        <is>
          <t>Georgia Power</t>
        </is>
      </c>
      <c r="C183" t="inlineStr">
        <is>
          <t>GA</t>
        </is>
      </c>
      <c r="D183" t="inlineStr">
        <is>
          <t>EVANS PRIMARY - THOMSON PRIMARY 115KV REBUILD</t>
        </is>
      </c>
      <c r="E183" t="inlineStr">
        <is>
          <t>EVANS PRIMARY</t>
        </is>
      </c>
      <c r="F183" t="n">
        <v>33.543994</v>
      </c>
      <c r="G183" t="n">
        <v>-82.168648</v>
      </c>
      <c r="H183" t="inlineStr">
        <is>
          <t>THOMSON PRIMARY</t>
        </is>
      </c>
      <c r="I183" t="n">
        <v>33.453955</v>
      </c>
      <c r="J183" t="n">
        <v>-82.414219</v>
      </c>
      <c r="K183">
        <f>IF(ISBLANK(I183), F183, IF(ISBLANK(F183), I183, (F183+I183)/2))</f>
        <v/>
      </c>
      <c r="L183">
        <f>IF(ISBLANK(J183), G183, IF(ISBLANK(G183), J183, (G183+J183)/2))</f>
        <v/>
      </c>
      <c r="M183" t="inlineStr">
        <is>
          <t>2034-12-31</t>
        </is>
      </c>
      <c r="N183" t="n">
        <v>4</v>
      </c>
      <c r="O183" t="inlineStr">
        <is>
          <t>DESC_31</t>
        </is>
      </c>
      <c r="P183" t="inlineStr">
        <is>
          <t>DESC_14</t>
        </is>
      </c>
      <c r="Q183" t="inlineStr">
        <is>
          <t>DESC_15</t>
        </is>
      </c>
      <c r="R183" t="inlineStr">
        <is>
          <t>confirmed</t>
        </is>
      </c>
      <c r="S183" t="inlineStr">
        <is>
          <t>confirmed</t>
        </is>
      </c>
      <c r="T183" t="inlineStr">
        <is>
          <t>confirmed</t>
        </is>
      </c>
      <c r="U183" t="inlineStr">
        <is>
          <t>17993</t>
        </is>
      </c>
      <c r="V183" t="inlineStr">
        <is>
          <t>215</t>
        </is>
      </c>
      <c r="X1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overlap_id</t>
        </is>
      </c>
      <c r="B1" s="1" t="inlineStr">
        <is>
          <t>distance_mi</t>
        </is>
      </c>
      <c r="C1" s="1" t="inlineStr">
        <is>
          <t>time_gap (day)</t>
        </is>
      </c>
      <c r="D1" s="1" t="inlineStr">
        <is>
          <t>utility_a</t>
        </is>
      </c>
      <c r="E1" s="1" t="inlineStr">
        <is>
          <t>project_id_a</t>
        </is>
      </c>
      <c r="F1" s="1" t="inlineStr">
        <is>
          <t>project_name_a</t>
        </is>
      </c>
      <c r="G1" s="1" t="inlineStr">
        <is>
          <t>utility_b</t>
        </is>
      </c>
      <c r="H1" s="1" t="inlineStr">
        <is>
          <t>project_id_b</t>
        </is>
      </c>
      <c r="I1" s="1" t="inlineStr">
        <is>
          <t>project_name_b</t>
        </is>
      </c>
      <c r="J1" s="1" t="inlineStr">
        <is>
          <t>rank</t>
        </is>
      </c>
      <c r="K1" s="1" t="inlineStr">
        <is>
          <t>score</t>
        </is>
      </c>
      <c r="L1" s="1" t="inlineStr">
        <is>
          <t>confidence</t>
        </is>
      </c>
    </row>
    <row r="2">
      <c r="A2" t="inlineStr">
        <is>
          <t>OVL_1</t>
        </is>
      </c>
      <c r="B2" t="n">
        <v>5.65</v>
      </c>
      <c r="C2" t="n">
        <v>152</v>
      </c>
      <c r="D2" t="inlineStr">
        <is>
          <t>Dominion Energy South Carolina</t>
        </is>
      </c>
      <c r="E2" t="inlineStr">
        <is>
          <t>DESC_23</t>
        </is>
      </c>
      <c r="F2" t="inlineStr">
        <is>
          <t>Jasper – Okatie 230 kV #2: Construct</t>
        </is>
      </c>
      <c r="G2" t="inlineStr">
        <is>
          <t>Georgia Power</t>
        </is>
      </c>
      <c r="H2" t="inlineStr">
        <is>
          <t>GPC_38</t>
        </is>
      </c>
      <c r="I2" t="inlineStr">
        <is>
          <t>SAV: MCINTOSH - PURRYSBURG 230KV REACTORS</t>
        </is>
      </c>
      <c r="J2" t="n">
        <v>1</v>
      </c>
      <c r="K2" t="n">
        <v>0.8168</v>
      </c>
      <c r="L2" t="inlineStr">
        <is>
          <t>confirmed</t>
        </is>
      </c>
    </row>
    <row r="3">
      <c r="A3" t="inlineStr">
        <is>
          <t>OVL_2</t>
        </is>
      </c>
      <c r="B3" t="n">
        <v>7.36</v>
      </c>
      <c r="C3" t="n">
        <v>517</v>
      </c>
      <c r="D3" t="inlineStr">
        <is>
          <t>Dominion Energy South Carolina</t>
        </is>
      </c>
      <c r="E3" t="inlineStr">
        <is>
          <t>DESC_23</t>
        </is>
      </c>
      <c r="F3" t="inlineStr">
        <is>
          <t>Jasper – Okatie 230 kV #2: Construct</t>
        </is>
      </c>
      <c r="G3" t="inlineStr">
        <is>
          <t>Georgia Power</t>
        </is>
      </c>
      <c r="H3" t="inlineStr">
        <is>
          <t>GPC_61</t>
        </is>
      </c>
      <c r="I3" t="inlineStr">
        <is>
          <t>SAV: GOSHEN (SAV) - MCINTOSH 115KV LINE REBUILD</t>
        </is>
      </c>
      <c r="J3" t="n">
        <v>2</v>
      </c>
      <c r="K3" t="n">
        <v>0.7088</v>
      </c>
      <c r="L3" t="inlineStr">
        <is>
          <t>confirmed</t>
        </is>
      </c>
    </row>
    <row r="4">
      <c r="A4" t="inlineStr">
        <is>
          <t>OVL_3</t>
        </is>
      </c>
      <c r="B4" t="n">
        <v>9.199999999999999</v>
      </c>
      <c r="C4" t="n">
        <v>883</v>
      </c>
      <c r="D4" t="inlineStr">
        <is>
          <t>Dominion Energy South Carolina</t>
        </is>
      </c>
      <c r="E4" t="inlineStr">
        <is>
          <t>DESC_43</t>
        </is>
      </c>
      <c r="F4" t="inlineStr">
        <is>
          <t>Urquhart – Aiken PSA 46 kV: Rebuild</t>
        </is>
      </c>
      <c r="G4" t="inlineStr">
        <is>
          <t>Georgia Power</t>
        </is>
      </c>
      <c r="H4" t="inlineStr">
        <is>
          <t>GPC_111</t>
        </is>
      </c>
      <c r="I4" t="inlineStr">
        <is>
          <t>GOSHEN AREA STRATEGIC SOLUTION</t>
        </is>
      </c>
      <c r="J4" t="n">
        <v>3</v>
      </c>
      <c r="K4" t="n">
        <v>0.5972</v>
      </c>
      <c r="L4" t="inlineStr">
        <is>
          <t>confirmed</t>
        </is>
      </c>
    </row>
    <row r="5">
      <c r="A5" t="inlineStr">
        <is>
          <t>OVL_4</t>
        </is>
      </c>
      <c r="B5" t="n">
        <v>11.75</v>
      </c>
      <c r="C5" t="n">
        <v>517</v>
      </c>
      <c r="D5" t="inlineStr">
        <is>
          <t>Dominion Energy South Carolina</t>
        </is>
      </c>
      <c r="E5" t="inlineStr">
        <is>
          <t>DESC_23</t>
        </is>
      </c>
      <c r="F5" t="inlineStr">
        <is>
          <t>Jasper – Okatie 230 kV #2: Construct</t>
        </is>
      </c>
      <c r="G5" t="inlineStr">
        <is>
          <t>Georgia Power</t>
        </is>
      </c>
      <c r="H5" t="inlineStr">
        <is>
          <t>GPC_60</t>
        </is>
      </c>
      <c r="I5" t="inlineStr">
        <is>
          <t>SAV: GOSHEN (SAV) - KRAFT 115KV LINE REBUILD</t>
        </is>
      </c>
      <c r="J5" t="n">
        <v>4</v>
      </c>
      <c r="K5" t="n">
        <v>0.5859</v>
      </c>
      <c r="L5" t="inlineStr">
        <is>
          <t>confirmed</t>
        </is>
      </c>
    </row>
    <row r="6">
      <c r="A6" t="inlineStr">
        <is>
          <t>OVL_5</t>
        </is>
      </c>
      <c r="B6" t="n">
        <v>4.09</v>
      </c>
      <c r="C6" t="n">
        <v>3074</v>
      </c>
      <c r="D6" t="inlineStr">
        <is>
          <t>Dominion Energy South Carolina</t>
        </is>
      </c>
      <c r="E6" t="inlineStr">
        <is>
          <t>DESC_31</t>
        </is>
      </c>
      <c r="F6" t="inlineStr">
        <is>
          <t>Hooks - Thurmond 115kV Tie: Rebuild</t>
        </is>
      </c>
      <c r="G6" t="inlineStr">
        <is>
          <t>Georgia Power</t>
        </is>
      </c>
      <c r="H6" t="inlineStr">
        <is>
          <t>GPC_128</t>
        </is>
      </c>
      <c r="I6" t="inlineStr">
        <is>
          <t>EVANS PRIMARY - THURMOND DAM (USA) #5 115KV REBUILD</t>
        </is>
      </c>
      <c r="J6" t="n">
        <v>5</v>
      </c>
      <c r="K6" t="n">
        <v>0.5855</v>
      </c>
      <c r="L6" t="inlineStr">
        <is>
          <t>confirmed</t>
        </is>
      </c>
    </row>
    <row r="7">
      <c r="A7" t="inlineStr">
        <is>
          <t>OVL_6</t>
        </is>
      </c>
      <c r="B7" t="n">
        <v>4.09</v>
      </c>
      <c r="C7" t="n">
        <v>3074</v>
      </c>
      <c r="D7" t="inlineStr">
        <is>
          <t>Dominion Energy South Carolina</t>
        </is>
      </c>
      <c r="E7" t="inlineStr">
        <is>
          <t>DESC_31</t>
        </is>
      </c>
      <c r="F7" t="inlineStr">
        <is>
          <t>Hooks - Thurmond 115kV Tie: Rebuild</t>
        </is>
      </c>
      <c r="G7" t="inlineStr">
        <is>
          <t>Georgia Power</t>
        </is>
      </c>
      <c r="H7" t="inlineStr">
        <is>
          <t>GPC_129</t>
        </is>
      </c>
      <c r="I7" t="inlineStr">
        <is>
          <t>EVANS PRIMARY - THURMOND DAM (USA) #6 115KV REBUILD</t>
        </is>
      </c>
      <c r="J7" t="n">
        <v>6</v>
      </c>
      <c r="K7" t="n">
        <v>0.5855</v>
      </c>
      <c r="L7" t="inlineStr">
        <is>
          <t>confirmed</t>
        </is>
      </c>
    </row>
    <row r="8">
      <c r="A8" t="inlineStr">
        <is>
          <t>OVL_7</t>
        </is>
      </c>
      <c r="B8" t="n">
        <v>14.34</v>
      </c>
      <c r="C8" t="n">
        <v>365</v>
      </c>
      <c r="D8" t="inlineStr">
        <is>
          <t>Dominion Energy South Carolina</t>
        </is>
      </c>
      <c r="E8" t="inlineStr">
        <is>
          <t>DESC_10</t>
        </is>
      </c>
      <c r="F8" t="inlineStr">
        <is>
          <t>Okatie-Bluffton 115kV: Rebuild</t>
        </is>
      </c>
      <c r="G8" t="inlineStr">
        <is>
          <t>Georgia Power</t>
        </is>
      </c>
      <c r="H8" t="inlineStr">
        <is>
          <t>GPC_38</t>
        </is>
      </c>
      <c r="I8" t="inlineStr">
        <is>
          <t>SAV: MCINTOSH - PURRYSBURG 230KV REACTORS</t>
        </is>
      </c>
      <c r="J8" t="n">
        <v>7</v>
      </c>
      <c r="K8" t="n">
        <v>0.5384</v>
      </c>
      <c r="L8" t="inlineStr">
        <is>
          <t>confirmed</t>
        </is>
      </c>
    </row>
    <row r="9">
      <c r="A9" t="inlineStr">
        <is>
          <t>OVL_8</t>
        </is>
      </c>
      <c r="B9" t="n">
        <v>18.08</v>
      </c>
      <c r="C9" t="n">
        <v>0</v>
      </c>
      <c r="D9" t="inlineStr">
        <is>
          <t>Dominion Energy South Carolina</t>
        </is>
      </c>
      <c r="E9" t="inlineStr">
        <is>
          <t>DESC_10</t>
        </is>
      </c>
      <c r="F9" t="inlineStr">
        <is>
          <t>Okatie-Bluffton 115kV: Rebuild</t>
        </is>
      </c>
      <c r="G9" t="inlineStr">
        <is>
          <t>Georgia Power</t>
        </is>
      </c>
      <c r="H9" t="inlineStr">
        <is>
          <t>GPC_9</t>
        </is>
      </c>
      <c r="I9" t="inlineStr">
        <is>
          <t>SAV: DEPTFORD - MAGNOLIA 115KV RECONDUCTOR</t>
        </is>
      </c>
      <c r="J9" t="n">
        <v>8</v>
      </c>
      <c r="K9" t="n">
        <v>0.4936</v>
      </c>
      <c r="L9" t="inlineStr">
        <is>
          <t>confirmed</t>
        </is>
      </c>
    </row>
    <row r="10">
      <c r="A10" t="inlineStr">
        <is>
          <t>OVL_9</t>
        </is>
      </c>
      <c r="B10" t="n">
        <v>8.01</v>
      </c>
      <c r="C10" t="n">
        <v>3074</v>
      </c>
      <c r="D10" t="inlineStr">
        <is>
          <t>Dominion Energy South Carolina</t>
        </is>
      </c>
      <c r="E10" t="inlineStr">
        <is>
          <t>DESC_14</t>
        </is>
      </c>
      <c r="F10" t="inlineStr">
        <is>
          <t>Stevens Creek - Hooks 115kV/LR Plumb Branch 46kV Rebuilds</t>
        </is>
      </c>
      <c r="G10" t="inlineStr">
        <is>
          <t>Georgia Power</t>
        </is>
      </c>
      <c r="H10" t="inlineStr">
        <is>
          <t>GPC_128</t>
        </is>
      </c>
      <c r="I10" t="inlineStr">
        <is>
          <t>EVANS PRIMARY - THURMOND DAM (USA) #5 115KV REBUILD</t>
        </is>
      </c>
      <c r="J10" t="n">
        <v>9</v>
      </c>
      <c r="K10" t="n">
        <v>0.4756</v>
      </c>
      <c r="L10" t="inlineStr">
        <is>
          <t>confirmed</t>
        </is>
      </c>
    </row>
    <row r="11">
      <c r="A11" t="inlineStr">
        <is>
          <t>OVL_10</t>
        </is>
      </c>
      <c r="B11" t="n">
        <v>8.01</v>
      </c>
      <c r="C11" t="n">
        <v>3074</v>
      </c>
      <c r="D11" t="inlineStr">
        <is>
          <t>Dominion Energy South Carolina</t>
        </is>
      </c>
      <c r="E11" t="inlineStr">
        <is>
          <t>DESC_14</t>
        </is>
      </c>
      <c r="F11" t="inlineStr">
        <is>
          <t>Stevens Creek - Hooks 115kV/LR Plumb Branch 46kV Rebuilds</t>
        </is>
      </c>
      <c r="G11" t="inlineStr">
        <is>
          <t>Georgia Power</t>
        </is>
      </c>
      <c r="H11" t="inlineStr">
        <is>
          <t>GPC_129</t>
        </is>
      </c>
      <c r="I11" t="inlineStr">
        <is>
          <t>EVANS PRIMARY - THURMOND DAM (USA) #6 115KV REBUILD</t>
        </is>
      </c>
      <c r="J11" t="n">
        <v>10</v>
      </c>
      <c r="K11" t="n">
        <v>0.4756</v>
      </c>
      <c r="L11" t="inlineStr">
        <is>
          <t>confirmed</t>
        </is>
      </c>
    </row>
    <row r="12">
      <c r="A12" t="inlineStr">
        <is>
          <t>OVL_11</t>
        </is>
      </c>
      <c r="B12" t="n">
        <v>8.01</v>
      </c>
      <c r="C12" t="n">
        <v>2709</v>
      </c>
      <c r="D12" t="inlineStr">
        <is>
          <t>Dominion Energy South Carolina</t>
        </is>
      </c>
      <c r="E12" t="inlineStr">
        <is>
          <t>DESC_15</t>
        </is>
      </c>
      <c r="F12" t="inlineStr">
        <is>
          <t>Stevens Creek - Hooks 115kV/LR Plumb Branch 46kV</t>
        </is>
      </c>
      <c r="G12" t="inlineStr">
        <is>
          <t>Georgia Power</t>
        </is>
      </c>
      <c r="H12" t="inlineStr">
        <is>
          <t>GPC_128</t>
        </is>
      </c>
      <c r="I12" t="inlineStr">
        <is>
          <t>EVANS PRIMARY - THURMOND DAM (USA) #5 115KV REBUILD</t>
        </is>
      </c>
      <c r="J12" t="n">
        <v>11</v>
      </c>
      <c r="K12" t="n">
        <v>0.4756</v>
      </c>
      <c r="L12" t="inlineStr">
        <is>
          <t>confirmed</t>
        </is>
      </c>
    </row>
    <row r="13">
      <c r="A13" t="inlineStr">
        <is>
          <t>OVL_12</t>
        </is>
      </c>
      <c r="B13" t="n">
        <v>8.01</v>
      </c>
      <c r="C13" t="n">
        <v>2709</v>
      </c>
      <c r="D13" t="inlineStr">
        <is>
          <t>Dominion Energy South Carolina</t>
        </is>
      </c>
      <c r="E13" t="inlineStr">
        <is>
          <t>DESC_15</t>
        </is>
      </c>
      <c r="F13" t="inlineStr">
        <is>
          <t>Stevens Creek - Hooks 115kV/LR Plumb Branch 46kV</t>
        </is>
      </c>
      <c r="G13" t="inlineStr">
        <is>
          <t>Georgia Power</t>
        </is>
      </c>
      <c r="H13" t="inlineStr">
        <is>
          <t>GPC_129</t>
        </is>
      </c>
      <c r="I13" t="inlineStr">
        <is>
          <t>EVANS PRIMARY - THURMOND DAM (USA) #6 115KV REBUILD</t>
        </is>
      </c>
      <c r="J13" t="n">
        <v>12</v>
      </c>
      <c r="K13" t="n">
        <v>0.4756</v>
      </c>
      <c r="L13" t="inlineStr">
        <is>
          <t>confirmed</t>
        </is>
      </c>
    </row>
    <row r="14">
      <c r="A14" t="inlineStr">
        <is>
          <t>OVL_13</t>
        </is>
      </c>
      <c r="B14" t="n">
        <v>14.61</v>
      </c>
      <c r="C14" t="n">
        <v>730</v>
      </c>
      <c r="D14" t="inlineStr">
        <is>
          <t>Dominion Energy South Carolina</t>
        </is>
      </c>
      <c r="E14" t="inlineStr">
        <is>
          <t>DESC_10</t>
        </is>
      </c>
      <c r="F14" t="inlineStr">
        <is>
          <t>Okatie-Bluffton 115kV: Rebuild</t>
        </is>
      </c>
      <c r="G14" t="inlineStr">
        <is>
          <t>Georgia Power</t>
        </is>
      </c>
      <c r="H14" t="inlineStr">
        <is>
          <t>GPC_61</t>
        </is>
      </c>
      <c r="I14" t="inlineStr">
        <is>
          <t>SAV: GOSHEN (SAV) - MCINTOSH 115KV LINE REBUILD</t>
        </is>
      </c>
      <c r="J14" t="n">
        <v>13</v>
      </c>
      <c r="K14" t="n">
        <v>0.471</v>
      </c>
      <c r="L14" t="inlineStr">
        <is>
          <t>confirmed</t>
        </is>
      </c>
    </row>
    <row r="15">
      <c r="A15" t="inlineStr">
        <is>
          <t>OVL_14</t>
        </is>
      </c>
      <c r="B15" t="n">
        <v>14.95</v>
      </c>
      <c r="C15" t="n">
        <v>730</v>
      </c>
      <c r="D15" t="inlineStr">
        <is>
          <t>Dominion Energy South Carolina</t>
        </is>
      </c>
      <c r="E15" t="inlineStr">
        <is>
          <t>DESC_10</t>
        </is>
      </c>
      <c r="F15" t="inlineStr">
        <is>
          <t>Okatie-Bluffton 115kV: Rebuild</t>
        </is>
      </c>
      <c r="G15" t="inlineStr">
        <is>
          <t>Georgia Power</t>
        </is>
      </c>
      <c r="H15" t="inlineStr">
        <is>
          <t>GPC_60</t>
        </is>
      </c>
      <c r="I15" t="inlineStr">
        <is>
          <t>SAV: GOSHEN (SAV) - KRAFT 115KV LINE REBUILD</t>
        </is>
      </c>
      <c r="J15" t="n">
        <v>14</v>
      </c>
      <c r="K15" t="n">
        <v>0.4614</v>
      </c>
      <c r="L15" t="inlineStr">
        <is>
          <t>confirmed</t>
        </is>
      </c>
    </row>
    <row r="16">
      <c r="A16" t="inlineStr">
        <is>
          <t>OVL_15</t>
        </is>
      </c>
      <c r="B16" t="n">
        <v>18.27</v>
      </c>
      <c r="C16" t="n">
        <v>365</v>
      </c>
      <c r="D16" t="inlineStr">
        <is>
          <t>Dominion Energy South Carolina</t>
        </is>
      </c>
      <c r="E16" t="inlineStr">
        <is>
          <t>DESC_10</t>
        </is>
      </c>
      <c r="F16" t="inlineStr">
        <is>
          <t>Okatie-Bluffton 115kV: Rebuild</t>
        </is>
      </c>
      <c r="G16" t="inlineStr">
        <is>
          <t>Georgia Power</t>
        </is>
      </c>
      <c r="H16" t="inlineStr">
        <is>
          <t>GPC_36</t>
        </is>
      </c>
      <c r="I16" t="inlineStr">
        <is>
          <t>SAV: BOULEVARD - DEPTFORD 115KV RECONDUCTOR</t>
        </is>
      </c>
      <c r="J16" t="n">
        <v>15</v>
      </c>
      <c r="K16" t="n">
        <v>0.4283</v>
      </c>
      <c r="L16" t="inlineStr">
        <is>
          <t>confirmed</t>
        </is>
      </c>
    </row>
    <row r="17">
      <c r="A17" t="inlineStr">
        <is>
          <t>OVL_16</t>
        </is>
      </c>
      <c r="B17" t="n">
        <v>17.4</v>
      </c>
      <c r="C17" t="n">
        <v>517</v>
      </c>
      <c r="D17" t="inlineStr">
        <is>
          <t>Dominion Energy South Carolina</t>
        </is>
      </c>
      <c r="E17" t="inlineStr">
        <is>
          <t>DESC_3</t>
        </is>
      </c>
      <c r="F17" t="inlineStr">
        <is>
          <t>Okatie 230-115kV Substation, Jasper – Yemassee 230kV #1 Fold-in</t>
        </is>
      </c>
      <c r="G17" t="inlineStr">
        <is>
          <t>Georgia Power</t>
        </is>
      </c>
      <c r="H17" t="inlineStr">
        <is>
          <t>GPC_38</t>
        </is>
      </c>
      <c r="I17" t="inlineStr">
        <is>
          <t>SAV: MCINTOSH - PURRYSBURG 230KV REACTORS</t>
        </is>
      </c>
      <c r="J17" t="n">
        <v>16</v>
      </c>
      <c r="K17" t="n">
        <v>0.4278</v>
      </c>
      <c r="L17" t="inlineStr">
        <is>
          <t>confirmed</t>
        </is>
      </c>
    </row>
    <row r="18">
      <c r="A18" t="inlineStr">
        <is>
          <t>OVL_17</t>
        </is>
      </c>
      <c r="B18" t="n">
        <v>20.23</v>
      </c>
      <c r="C18" t="n">
        <v>152</v>
      </c>
      <c r="D18" t="inlineStr">
        <is>
          <t>Dominion Energy South Carolina</t>
        </is>
      </c>
      <c r="E18" t="inlineStr">
        <is>
          <t>DESC_23</t>
        </is>
      </c>
      <c r="F18" t="inlineStr">
        <is>
          <t>Jasper – Okatie 230 kV #2: Construct</t>
        </is>
      </c>
      <c r="G18" t="inlineStr">
        <is>
          <t>Georgia Power</t>
        </is>
      </c>
      <c r="H18" t="inlineStr">
        <is>
          <t>GPC_36</t>
        </is>
      </c>
      <c r="I18" t="inlineStr">
        <is>
          <t>SAV: BOULEVARD - DEPTFORD 115KV RECONDUCTOR</t>
        </is>
      </c>
      <c r="J18" t="n">
        <v>17</v>
      </c>
      <c r="K18" t="n">
        <v>0.4086</v>
      </c>
      <c r="L18" t="inlineStr">
        <is>
          <t>confirmed</t>
        </is>
      </c>
    </row>
    <row r="19">
      <c r="A19" t="inlineStr">
        <is>
          <t>OVL_18</t>
        </is>
      </c>
      <c r="B19" t="n">
        <v>20.85</v>
      </c>
      <c r="C19" t="n">
        <v>213</v>
      </c>
      <c r="D19" t="inlineStr">
        <is>
          <t>Dominion Energy South Carolina</t>
        </is>
      </c>
      <c r="E19" t="inlineStr">
        <is>
          <t>DESC_23</t>
        </is>
      </c>
      <c r="F19" t="inlineStr">
        <is>
          <t>Jasper – Okatie 230 kV #2: Construct</t>
        </is>
      </c>
      <c r="G19" t="inlineStr">
        <is>
          <t>Georgia Power</t>
        </is>
      </c>
      <c r="H19" t="inlineStr">
        <is>
          <t>GPC_9</t>
        </is>
      </c>
      <c r="I19" t="inlineStr">
        <is>
          <t>SAV: DEPTFORD - MAGNOLIA 115KV RECONDUCTOR</t>
        </is>
      </c>
      <c r="J19" t="n">
        <v>18</v>
      </c>
      <c r="K19" t="n">
        <v>0.3811</v>
      </c>
      <c r="L19" t="inlineStr">
        <is>
          <t>confirmed</t>
        </is>
      </c>
    </row>
    <row r="20">
      <c r="A20" t="inlineStr">
        <is>
          <t>OVL_19</t>
        </is>
      </c>
      <c r="B20" t="n">
        <v>12.42</v>
      </c>
      <c r="C20" t="n">
        <v>3652</v>
      </c>
      <c r="D20" t="inlineStr">
        <is>
          <t>Dominion Energy South Carolina</t>
        </is>
      </c>
      <c r="E20" t="inlineStr">
        <is>
          <t>DESC_31</t>
        </is>
      </c>
      <c r="F20" t="inlineStr">
        <is>
          <t>Hooks - Thurmond 115kV Tie: Rebuild</t>
        </is>
      </c>
      <c r="G20" t="inlineStr">
        <is>
          <t>Georgia Power</t>
        </is>
      </c>
      <c r="H20" t="inlineStr">
        <is>
          <t>GPC_138</t>
        </is>
      </c>
      <c r="I20" t="inlineStr">
        <is>
          <t>EVANS PRIMARY - THOMSON PRIMARY 115KV REBUILD</t>
        </is>
      </c>
      <c r="J20" t="n">
        <v>19</v>
      </c>
      <c r="K20" t="n">
        <v>0.3523</v>
      </c>
      <c r="L20" t="inlineStr">
        <is>
          <t>confirmed</t>
        </is>
      </c>
    </row>
    <row r="21">
      <c r="A21" t="inlineStr">
        <is>
          <t>OVL_20</t>
        </is>
      </c>
      <c r="B21" t="n">
        <v>18.21</v>
      </c>
      <c r="C21" t="n">
        <v>883</v>
      </c>
      <c r="D21" t="inlineStr">
        <is>
          <t>Dominion Energy South Carolina</t>
        </is>
      </c>
      <c r="E21" t="inlineStr">
        <is>
          <t>DESC_23</t>
        </is>
      </c>
      <c r="F21" t="inlineStr">
        <is>
          <t>Jasper – Okatie 230 kV #2: Construct</t>
        </is>
      </c>
      <c r="G21" t="inlineStr">
        <is>
          <t>Georgia Power</t>
        </is>
      </c>
      <c r="H21" t="inlineStr">
        <is>
          <t>GPC_74</t>
        </is>
      </c>
      <c r="I21" t="inlineStr">
        <is>
          <t>SAV: COLEMAN - DEAN FOREST 115KV LINE REBUILD</t>
        </is>
      </c>
      <c r="J21" t="n">
        <v>20</v>
      </c>
      <c r="K21" t="n">
        <v>0.345</v>
      </c>
      <c r="L21" t="inlineStr">
        <is>
          <t>confirmed</t>
        </is>
      </c>
    </row>
    <row r="22">
      <c r="A22" t="inlineStr">
        <is>
          <t>OVL_21</t>
        </is>
      </c>
      <c r="B22" t="n">
        <v>16.38</v>
      </c>
      <c r="C22" t="n">
        <v>1389</v>
      </c>
      <c r="D22" t="inlineStr">
        <is>
          <t>Dominion Energy South Carolina</t>
        </is>
      </c>
      <c r="E22" t="inlineStr">
        <is>
          <t>DESC_35</t>
        </is>
      </c>
      <c r="F22" t="inlineStr">
        <is>
          <t>Urquhart – Toolebeck 115kV line: Rebuild</t>
        </is>
      </c>
      <c r="G22" t="inlineStr">
        <is>
          <t>Georgia Power</t>
        </is>
      </c>
      <c r="H22" t="inlineStr">
        <is>
          <t>GPC_111</t>
        </is>
      </c>
      <c r="I22" t="inlineStr">
        <is>
          <t>GOSHEN AREA STRATEGIC SOLUTION</t>
        </is>
      </c>
      <c r="J22" t="n">
        <v>21</v>
      </c>
      <c r="K22" t="n">
        <v>0.313</v>
      </c>
      <c r="L22" t="inlineStr">
        <is>
          <t>confirmed</t>
        </is>
      </c>
    </row>
    <row r="23">
      <c r="A23" t="inlineStr">
        <is>
          <t>OVL_22</t>
        </is>
      </c>
      <c r="B23" t="n">
        <v>18.16</v>
      </c>
      <c r="C23" t="n">
        <v>1096</v>
      </c>
      <c r="D23" t="inlineStr">
        <is>
          <t>Dominion Energy South Carolina</t>
        </is>
      </c>
      <c r="E23" t="inlineStr">
        <is>
          <t>DESC_10</t>
        </is>
      </c>
      <c r="F23" t="inlineStr">
        <is>
          <t>Okatie-Bluffton 115kV: Rebuild</t>
        </is>
      </c>
      <c r="G23" t="inlineStr">
        <is>
          <t>Georgia Power</t>
        </is>
      </c>
      <c r="H23" t="inlineStr">
        <is>
          <t>GPC_74</t>
        </is>
      </c>
      <c r="I23" t="inlineStr">
        <is>
          <t>SAV: COLEMAN - DEAN FOREST 115KV LINE REBUILD</t>
        </is>
      </c>
      <c r="J23" t="n">
        <v>22</v>
      </c>
      <c r="K23" t="n">
        <v>0.3115</v>
      </c>
      <c r="L23" t="inlineStr">
        <is>
          <t>confirmed</t>
        </is>
      </c>
    </row>
    <row r="24">
      <c r="A24" t="inlineStr">
        <is>
          <t>OVL_23</t>
        </is>
      </c>
      <c r="B24" t="n">
        <v>14.51</v>
      </c>
      <c r="C24" t="n">
        <v>3652</v>
      </c>
      <c r="D24" t="inlineStr">
        <is>
          <t>Dominion Energy South Carolina</t>
        </is>
      </c>
      <c r="E24" t="inlineStr">
        <is>
          <t>DESC_14</t>
        </is>
      </c>
      <c r="F24" t="inlineStr">
        <is>
          <t>Stevens Creek - Hooks 115kV/LR Plumb Branch 46kV Rebuilds</t>
        </is>
      </c>
      <c r="G24" t="inlineStr">
        <is>
          <t>Georgia Power</t>
        </is>
      </c>
      <c r="H24" t="inlineStr">
        <is>
          <t>GPC_138</t>
        </is>
      </c>
      <c r="I24" t="inlineStr">
        <is>
          <t>EVANS PRIMARY - THOMSON PRIMARY 115KV REBUILD</t>
        </is>
      </c>
      <c r="J24" t="n">
        <v>23</v>
      </c>
      <c r="K24" t="n">
        <v>0.2937</v>
      </c>
      <c r="L24" t="inlineStr">
        <is>
          <t>confirmed</t>
        </is>
      </c>
    </row>
    <row r="25">
      <c r="A25" t="inlineStr">
        <is>
          <t>OVL_24</t>
        </is>
      </c>
      <c r="B25" t="n">
        <v>14.51</v>
      </c>
      <c r="C25" t="n">
        <v>3287</v>
      </c>
      <c r="D25" t="inlineStr">
        <is>
          <t>Dominion Energy South Carolina</t>
        </is>
      </c>
      <c r="E25" t="inlineStr">
        <is>
          <t>DESC_15</t>
        </is>
      </c>
      <c r="F25" t="inlineStr">
        <is>
          <t>Stevens Creek - Hooks 115kV/LR Plumb Branch 46kV</t>
        </is>
      </c>
      <c r="G25" t="inlineStr">
        <is>
          <t>Georgia Power</t>
        </is>
      </c>
      <c r="H25" t="inlineStr">
        <is>
          <t>GPC_138</t>
        </is>
      </c>
      <c r="I25" t="inlineStr">
        <is>
          <t>EVANS PRIMARY - THOMSON PRIMARY 115KV REBUILD</t>
        </is>
      </c>
      <c r="J25" t="n">
        <v>24</v>
      </c>
      <c r="K25" t="n">
        <v>0.2937</v>
      </c>
      <c r="L25" t="inlineStr">
        <is>
          <t>confirmed</t>
        </is>
      </c>
    </row>
    <row r="26">
      <c r="A26" t="inlineStr">
        <is>
          <t>OVL_25</t>
        </is>
      </c>
      <c r="B26" t="n">
        <v>20.59</v>
      </c>
      <c r="C26" t="n">
        <v>882</v>
      </c>
      <c r="D26" t="inlineStr">
        <is>
          <t>Dominion Energy South Carolina</t>
        </is>
      </c>
      <c r="E26" t="inlineStr">
        <is>
          <t>DESC_3</t>
        </is>
      </c>
      <c r="F26" t="inlineStr">
        <is>
          <t>Okatie 230-115kV Substation, Jasper – Yemassee 230kV #1 Fold-in</t>
        </is>
      </c>
      <c r="G26" t="inlineStr">
        <is>
          <t>Georgia Power</t>
        </is>
      </c>
      <c r="H26" t="inlineStr">
        <is>
          <t>GPC_61</t>
        </is>
      </c>
      <c r="I26" t="inlineStr">
        <is>
          <t>SAV: GOSHEN (SAV) - MCINTOSH 115KV LINE REBUILD</t>
        </is>
      </c>
      <c r="J26" t="n">
        <v>25</v>
      </c>
      <c r="K26" t="n">
        <v>0.2785</v>
      </c>
      <c r="L26" t="inlineStr">
        <is>
          <t>confirmed</t>
        </is>
      </c>
    </row>
    <row r="27">
      <c r="A27" t="inlineStr">
        <is>
          <t>OVL_26</t>
        </is>
      </c>
      <c r="B27" t="n">
        <v>19.93</v>
      </c>
      <c r="C27" t="n">
        <v>1096</v>
      </c>
      <c r="D27" t="inlineStr">
        <is>
          <t>Dominion Energy South Carolina</t>
        </is>
      </c>
      <c r="E27" t="inlineStr">
        <is>
          <t>DESC_10</t>
        </is>
      </c>
      <c r="F27" t="inlineStr">
        <is>
          <t>Okatie-Bluffton 115kV: Rebuild</t>
        </is>
      </c>
      <c r="G27" t="inlineStr">
        <is>
          <t>Georgia Power</t>
        </is>
      </c>
      <c r="H27" t="inlineStr">
        <is>
          <t>GPC_75</t>
        </is>
      </c>
      <c r="I27" t="inlineStr">
        <is>
          <t>SAV: MAGNOLIA - TRUMAN PARKWAY 115KV REBUILD</t>
        </is>
      </c>
      <c r="J27" t="n">
        <v>26</v>
      </c>
      <c r="K27" t="n">
        <v>0.2618</v>
      </c>
      <c r="L27" t="inlineStr">
        <is>
          <t>confirmed</t>
        </is>
      </c>
    </row>
    <row r="28">
      <c r="A28" t="inlineStr">
        <is>
          <t>OVL_27</t>
        </is>
      </c>
      <c r="B28" t="n">
        <v>17.09</v>
      </c>
      <c r="C28" t="n">
        <v>1613</v>
      </c>
      <c r="D28" t="inlineStr">
        <is>
          <t>Dominion Energy South Carolina</t>
        </is>
      </c>
      <c r="E28" t="inlineStr">
        <is>
          <t>DESC_15</t>
        </is>
      </c>
      <c r="F28" t="inlineStr">
        <is>
          <t>Stevens Creek - Hooks 115kV/LR Plumb Branch 46kV</t>
        </is>
      </c>
      <c r="G28" t="inlineStr">
        <is>
          <t>Georgia Power</t>
        </is>
      </c>
      <c r="H28" t="inlineStr">
        <is>
          <t>GPC_111</t>
        </is>
      </c>
      <c r="I28" t="inlineStr">
        <is>
          <t>GOSHEN AREA STRATEGIC SOLUTION</t>
        </is>
      </c>
      <c r="J28" t="n">
        <v>27</v>
      </c>
      <c r="K28" t="n">
        <v>0.2564</v>
      </c>
      <c r="L28" t="inlineStr">
        <is>
          <t>confirmed</t>
        </is>
      </c>
    </row>
    <row r="29">
      <c r="A29" t="inlineStr">
        <is>
          <t>OVL_28</t>
        </is>
      </c>
      <c r="B29" t="n">
        <v>22.37</v>
      </c>
      <c r="C29" t="n">
        <v>883</v>
      </c>
      <c r="D29" t="inlineStr">
        <is>
          <t>Dominion Energy South Carolina</t>
        </is>
      </c>
      <c r="E29" t="inlineStr">
        <is>
          <t>DESC_23</t>
        </is>
      </c>
      <c r="F29" t="inlineStr">
        <is>
          <t>Jasper – Okatie 230 kV #2: Construct</t>
        </is>
      </c>
      <c r="G29" t="inlineStr">
        <is>
          <t>Georgia Power</t>
        </is>
      </c>
      <c r="H29" t="inlineStr">
        <is>
          <t>GPC_75</t>
        </is>
      </c>
      <c r="I29" t="inlineStr">
        <is>
          <t>SAV: MAGNOLIA - TRUMAN PARKWAY 115KV REBUILD</t>
        </is>
      </c>
      <c r="J29" t="n">
        <v>28</v>
      </c>
      <c r="K29" t="n">
        <v>0.2284</v>
      </c>
      <c r="L29" t="inlineStr">
        <is>
          <t>confirmed</t>
        </is>
      </c>
    </row>
    <row r="30">
      <c r="A30" t="inlineStr">
        <is>
          <t>OVL_29</t>
        </is>
      </c>
      <c r="B30" t="n">
        <v>17.09</v>
      </c>
      <c r="C30" t="n">
        <v>1978</v>
      </c>
      <c r="D30" t="inlineStr">
        <is>
          <t>Dominion Energy South Carolina</t>
        </is>
      </c>
      <c r="E30" t="inlineStr">
        <is>
          <t>DESC_14</t>
        </is>
      </c>
      <c r="F30" t="inlineStr">
        <is>
          <t>Stevens Creek - Hooks 115kV/LR Plumb Branch 46kV Rebuilds</t>
        </is>
      </c>
      <c r="G30" t="inlineStr">
        <is>
          <t>Georgia Power</t>
        </is>
      </c>
      <c r="H30" t="inlineStr">
        <is>
          <t>GPC_111</t>
        </is>
      </c>
      <c r="I30" t="inlineStr">
        <is>
          <t>GOSHEN AREA STRATEGIC SOLUTION</t>
        </is>
      </c>
      <c r="J30" t="n">
        <v>29</v>
      </c>
      <c r="K30" t="n">
        <v>0.2216</v>
      </c>
      <c r="L30" t="inlineStr">
        <is>
          <t>confirmed</t>
        </is>
      </c>
    </row>
    <row r="31">
      <c r="A31" t="inlineStr">
        <is>
          <t>OVL_30</t>
        </is>
      </c>
      <c r="B31" t="n">
        <v>17.97</v>
      </c>
      <c r="C31" t="n">
        <v>2344</v>
      </c>
      <c r="D31" t="inlineStr">
        <is>
          <t>Dominion Energy South Carolina</t>
        </is>
      </c>
      <c r="E31" t="inlineStr">
        <is>
          <t>DESC_23</t>
        </is>
      </c>
      <c r="F31" t="inlineStr">
        <is>
          <t>Jasper – Okatie 230 kV #2: Construct</t>
        </is>
      </c>
      <c r="G31" t="inlineStr">
        <is>
          <t>Georgia Power</t>
        </is>
      </c>
      <c r="H31" t="inlineStr">
        <is>
          <t>GPC_125</t>
        </is>
      </c>
      <c r="I31" t="inlineStr">
        <is>
          <t>SAV: COLEMAN - MELDRIM 115KV LINE REBUILD</t>
        </is>
      </c>
      <c r="J31" t="n">
        <v>30</v>
      </c>
      <c r="K31" t="n">
        <v>0.1969</v>
      </c>
      <c r="L31" t="inlineStr">
        <is>
          <t>confirmed</t>
        </is>
      </c>
    </row>
    <row r="32">
      <c r="A32" t="inlineStr">
        <is>
          <t>OVL_31</t>
        </is>
      </c>
      <c r="B32" t="n">
        <v>20.15</v>
      </c>
      <c r="C32" t="n">
        <v>1461</v>
      </c>
      <c r="D32" t="inlineStr">
        <is>
          <t>Dominion Energy South Carolina</t>
        </is>
      </c>
      <c r="E32" t="inlineStr">
        <is>
          <t>DESC_10</t>
        </is>
      </c>
      <c r="F32" t="inlineStr">
        <is>
          <t>Okatie-Bluffton 115kV: Rebuild</t>
        </is>
      </c>
      <c r="G32" t="inlineStr">
        <is>
          <t>Georgia Power</t>
        </is>
      </c>
      <c r="H32" t="inlineStr">
        <is>
          <t>GPC_92</t>
        </is>
      </c>
      <c r="I32" t="inlineStr">
        <is>
          <t>SAV: BOULEVARD - MAGNOLIA 115 KV LINE REBUILD</t>
        </is>
      </c>
      <c r="J32" t="n">
        <v>31</v>
      </c>
      <c r="K32" t="n">
        <v>0.1957</v>
      </c>
      <c r="L32" t="inlineStr">
        <is>
          <t>confirmed</t>
        </is>
      </c>
    </row>
    <row r="33">
      <c r="A33" t="inlineStr">
        <is>
          <t>OVL_32</t>
        </is>
      </c>
      <c r="B33" t="n">
        <v>21.83</v>
      </c>
      <c r="C33" t="n">
        <v>1248</v>
      </c>
      <c r="D33" t="inlineStr">
        <is>
          <t>Dominion Energy South Carolina</t>
        </is>
      </c>
      <c r="E33" t="inlineStr">
        <is>
          <t>DESC_23</t>
        </is>
      </c>
      <c r="F33" t="inlineStr">
        <is>
          <t>Jasper – Okatie 230 kV #2: Construct</t>
        </is>
      </c>
      <c r="G33" t="inlineStr">
        <is>
          <t>Georgia Power</t>
        </is>
      </c>
      <c r="H33" t="inlineStr">
        <is>
          <t>GPC_92</t>
        </is>
      </c>
      <c r="I33" t="inlineStr">
        <is>
          <t>SAV: BOULEVARD - MAGNOLIA 115 KV LINE REBUILD</t>
        </is>
      </c>
      <c r="J33" t="n">
        <v>32</v>
      </c>
      <c r="K33" t="n">
        <v>0.1835</v>
      </c>
      <c r="L33" t="inlineStr">
        <is>
          <t>confirmed</t>
        </is>
      </c>
    </row>
    <row r="34">
      <c r="A34" t="inlineStr">
        <is>
          <t>OVL_33</t>
        </is>
      </c>
      <c r="B34" t="n">
        <v>19</v>
      </c>
      <c r="C34" t="n">
        <v>3074</v>
      </c>
      <c r="D34" t="inlineStr">
        <is>
          <t>Dominion Energy South Carolina</t>
        </is>
      </c>
      <c r="E34" t="inlineStr">
        <is>
          <t>DESC_31</t>
        </is>
      </c>
      <c r="F34" t="inlineStr">
        <is>
          <t>Hooks - Thurmond 115kV Tie: Rebuild</t>
        </is>
      </c>
      <c r="G34" t="inlineStr">
        <is>
          <t>Georgia Power</t>
        </is>
      </c>
      <c r="H34" t="inlineStr">
        <is>
          <t>GPC_133</t>
        </is>
      </c>
      <c r="I34" t="inlineStr">
        <is>
          <t>THOMSON PRIMARY 230/115KV SECOND TRANSFORMER</t>
        </is>
      </c>
      <c r="J34" t="n">
        <v>33</v>
      </c>
      <c r="K34" t="n">
        <v>0.1681</v>
      </c>
      <c r="L34" t="inlineStr">
        <is>
          <t>confirmed</t>
        </is>
      </c>
    </row>
    <row r="35">
      <c r="A35" t="inlineStr">
        <is>
          <t>OVL_34</t>
        </is>
      </c>
      <c r="B35" t="n">
        <v>22.42</v>
      </c>
      <c r="C35" t="n">
        <v>1248</v>
      </c>
      <c r="D35" t="inlineStr">
        <is>
          <t>Dominion Energy South Carolina</t>
        </is>
      </c>
      <c r="E35" t="inlineStr">
        <is>
          <t>DESC_23</t>
        </is>
      </c>
      <c r="F35" t="inlineStr">
        <is>
          <t>Jasper – Okatie 230 kV #2: Construct</t>
        </is>
      </c>
      <c r="G35" t="inlineStr">
        <is>
          <t>Georgia Power</t>
        </is>
      </c>
      <c r="H35" t="inlineStr">
        <is>
          <t>GPC_93</t>
        </is>
      </c>
      <c r="I35" t="inlineStr">
        <is>
          <t>SAV: DEAN FOREST - LITTLE OGEECHEE 230 KV REBUILD</t>
        </is>
      </c>
      <c r="J35" t="n">
        <v>34</v>
      </c>
      <c r="K35" t="n">
        <v>0.1671</v>
      </c>
      <c r="L35" t="inlineStr">
        <is>
          <t>confirmed</t>
        </is>
      </c>
    </row>
    <row r="36">
      <c r="A36" t="inlineStr">
        <is>
          <t>OVL_35</t>
        </is>
      </c>
      <c r="B36" t="n">
        <v>19.51</v>
      </c>
      <c r="C36" t="n">
        <v>1979</v>
      </c>
      <c r="D36" t="inlineStr">
        <is>
          <t>Dominion Energy South Carolina</t>
        </is>
      </c>
      <c r="E36" t="inlineStr">
        <is>
          <t>DESC_43</t>
        </is>
      </c>
      <c r="F36" t="inlineStr">
        <is>
          <t>Urquhart – Aiken PSA 46 kV: Rebuild</t>
        </is>
      </c>
      <c r="G36" t="inlineStr">
        <is>
          <t>Georgia Power</t>
        </is>
      </c>
      <c r="H36" t="inlineStr">
        <is>
          <t>GPC_128</t>
        </is>
      </c>
      <c r="I36" t="inlineStr">
        <is>
          <t>EVANS PRIMARY - THURMOND DAM (USA) #5 115KV REBUILD</t>
        </is>
      </c>
      <c r="J36" t="n">
        <v>35</v>
      </c>
      <c r="K36" t="n">
        <v>0.1537</v>
      </c>
      <c r="L36" t="inlineStr">
        <is>
          <t>confirmed</t>
        </is>
      </c>
    </row>
    <row r="37">
      <c r="A37" t="inlineStr">
        <is>
          <t>OVL_36</t>
        </is>
      </c>
      <c r="B37" t="n">
        <v>19.51</v>
      </c>
      <c r="C37" t="n">
        <v>1979</v>
      </c>
      <c r="D37" t="inlineStr">
        <is>
          <t>Dominion Energy South Carolina</t>
        </is>
      </c>
      <c r="E37" t="inlineStr">
        <is>
          <t>DESC_43</t>
        </is>
      </c>
      <c r="F37" t="inlineStr">
        <is>
          <t>Urquhart – Aiken PSA 46 kV: Rebuild</t>
        </is>
      </c>
      <c r="G37" t="inlineStr">
        <is>
          <t>Georgia Power</t>
        </is>
      </c>
      <c r="H37" t="inlineStr">
        <is>
          <t>GPC_129</t>
        </is>
      </c>
      <c r="I37" t="inlineStr">
        <is>
          <t>EVANS PRIMARY - THURMOND DAM (USA) #6 115KV REBUILD</t>
        </is>
      </c>
      <c r="J37" t="n">
        <v>36</v>
      </c>
      <c r="K37" t="n">
        <v>0.1537</v>
      </c>
      <c r="L37" t="inlineStr">
        <is>
          <t>confirmed</t>
        </is>
      </c>
    </row>
    <row r="38">
      <c r="A38" t="inlineStr">
        <is>
          <t>OVL_37</t>
        </is>
      </c>
      <c r="B38" t="n">
        <v>20.63</v>
      </c>
      <c r="C38" t="n">
        <v>2557</v>
      </c>
      <c r="D38" t="inlineStr">
        <is>
          <t>Dominion Energy South Carolina</t>
        </is>
      </c>
      <c r="E38" t="inlineStr">
        <is>
          <t>DESC_10</t>
        </is>
      </c>
      <c r="F38" t="inlineStr">
        <is>
          <t>Okatie-Bluffton 115kV: Rebuild</t>
        </is>
      </c>
      <c r="G38" t="inlineStr">
        <is>
          <t>Georgia Power</t>
        </is>
      </c>
      <c r="H38" t="inlineStr">
        <is>
          <t>GPC_125</t>
        </is>
      </c>
      <c r="I38" t="inlineStr">
        <is>
          <t>SAV: COLEMAN - MELDRIM 115KV LINE REBUILD</t>
        </is>
      </c>
      <c r="J38" t="n">
        <v>37</v>
      </c>
      <c r="K38" t="n">
        <v>0.1224</v>
      </c>
      <c r="L38" t="inlineStr">
        <is>
          <t>confirmed</t>
        </is>
      </c>
    </row>
    <row r="39">
      <c r="A39" t="inlineStr">
        <is>
          <t>OVL_38</t>
        </is>
      </c>
      <c r="B39" t="n">
        <v>23.19</v>
      </c>
      <c r="C39" t="n">
        <v>1461</v>
      </c>
      <c r="D39" t="inlineStr">
        <is>
          <t>Dominion Energy South Carolina</t>
        </is>
      </c>
      <c r="E39" t="inlineStr">
        <is>
          <t>DESC_10</t>
        </is>
      </c>
      <c r="F39" t="inlineStr">
        <is>
          <t>Okatie-Bluffton 115kV: Rebuild</t>
        </is>
      </c>
      <c r="G39" t="inlineStr">
        <is>
          <t>Georgia Power</t>
        </is>
      </c>
      <c r="H39" t="inlineStr">
        <is>
          <t>GPC_93</t>
        </is>
      </c>
      <c r="I39" t="inlineStr">
        <is>
          <t>SAV: DEAN FOREST - LITTLE OGEECHEE 230 KV REBUILD</t>
        </is>
      </c>
      <c r="J39" t="n">
        <v>38</v>
      </c>
      <c r="K39" t="n">
        <v>0.1106</v>
      </c>
      <c r="L39" t="inlineStr">
        <is>
          <t>confirmed</t>
        </is>
      </c>
    </row>
    <row r="40">
      <c r="A40" t="inlineStr">
        <is>
          <t>OVL_39</t>
        </is>
      </c>
      <c r="B40" t="n">
        <v>21.48</v>
      </c>
      <c r="C40" t="n">
        <v>2709</v>
      </c>
      <c r="D40" t="inlineStr">
        <is>
          <t>Dominion Energy South Carolina</t>
        </is>
      </c>
      <c r="E40" t="inlineStr">
        <is>
          <t>DESC_23</t>
        </is>
      </c>
      <c r="F40" t="inlineStr">
        <is>
          <t>Jasper – Okatie 230 kV #2: Construct</t>
        </is>
      </c>
      <c r="G40" t="inlineStr">
        <is>
          <t>Georgia Power</t>
        </is>
      </c>
      <c r="H40" t="inlineStr">
        <is>
          <t>GPC_132</t>
        </is>
      </c>
      <c r="I40" t="inlineStr">
        <is>
          <t>SAV: MELDRIM BANK D REPLACEMENT</t>
        </is>
      </c>
      <c r="J40" t="n">
        <v>39</v>
      </c>
      <c r="K40" t="n">
        <v>0.09859999999999999</v>
      </c>
      <c r="L40" t="inlineStr">
        <is>
          <t>confirmed</t>
        </is>
      </c>
    </row>
    <row r="41">
      <c r="A41" t="inlineStr">
        <is>
          <t>OVL_40</t>
        </is>
      </c>
      <c r="B41" t="n">
        <v>22.21</v>
      </c>
      <c r="C41" t="n">
        <v>3074</v>
      </c>
      <c r="D41" t="inlineStr">
        <is>
          <t>Dominion Energy South Carolina</t>
        </is>
      </c>
      <c r="E41" t="inlineStr">
        <is>
          <t>DESC_14</t>
        </is>
      </c>
      <c r="F41" t="inlineStr">
        <is>
          <t>Stevens Creek - Hooks 115kV/LR Plumb Branch 46kV Rebuilds</t>
        </is>
      </c>
      <c r="G41" t="inlineStr">
        <is>
          <t>Georgia Power</t>
        </is>
      </c>
      <c r="H41" t="inlineStr">
        <is>
          <t>GPC_133</t>
        </is>
      </c>
      <c r="I41" t="inlineStr">
        <is>
          <t>THOMSON PRIMARY 230/115KV SECOND TRANSFORMER</t>
        </is>
      </c>
      <c r="J41" t="n">
        <v>40</v>
      </c>
      <c r="K41" t="n">
        <v>0.0781</v>
      </c>
      <c r="L41" t="inlineStr">
        <is>
          <t>confirmed</t>
        </is>
      </c>
    </row>
    <row r="42">
      <c r="A42" t="inlineStr">
        <is>
          <t>OVL_41</t>
        </is>
      </c>
      <c r="B42" t="n">
        <v>22.21</v>
      </c>
      <c r="C42" t="n">
        <v>2709</v>
      </c>
      <c r="D42" t="inlineStr">
        <is>
          <t>Dominion Energy South Carolina</t>
        </is>
      </c>
      <c r="E42" t="inlineStr">
        <is>
          <t>DESC_15</t>
        </is>
      </c>
      <c r="F42" t="inlineStr">
        <is>
          <t>Stevens Creek - Hooks 115kV/LR Plumb Branch 46kV</t>
        </is>
      </c>
      <c r="G42" t="inlineStr">
        <is>
          <t>Georgia Power</t>
        </is>
      </c>
      <c r="H42" t="inlineStr">
        <is>
          <t>GPC_133</t>
        </is>
      </c>
      <c r="I42" t="inlineStr">
        <is>
          <t>THOMSON PRIMARY 230/115KV SECOND TRANSFORMER</t>
        </is>
      </c>
      <c r="J42" t="n">
        <v>41</v>
      </c>
      <c r="K42" t="n">
        <v>0.0781</v>
      </c>
      <c r="L42" t="inlineStr">
        <is>
          <t>confirmed</t>
        </is>
      </c>
    </row>
    <row r="43">
      <c r="A43" t="inlineStr">
        <is>
          <t>OVL_42</t>
        </is>
      </c>
      <c r="B43" t="n">
        <v>22.39</v>
      </c>
      <c r="C43" t="n">
        <v>2557</v>
      </c>
      <c r="D43" t="inlineStr">
        <is>
          <t>Dominion Energy South Carolina</t>
        </is>
      </c>
      <c r="E43" t="inlineStr">
        <is>
          <t>DESC_43</t>
        </is>
      </c>
      <c r="F43" t="inlineStr">
        <is>
          <t>Urquhart – Aiken PSA 46 kV: Rebuild</t>
        </is>
      </c>
      <c r="G43" t="inlineStr">
        <is>
          <t>Georgia Power</t>
        </is>
      </c>
      <c r="H43" t="inlineStr">
        <is>
          <t>GPC_138</t>
        </is>
      </c>
      <c r="I43" t="inlineStr">
        <is>
          <t>EVANS PRIMARY - THOMSON PRIMARY 115KV REBUILD</t>
        </is>
      </c>
      <c r="J43" t="n">
        <v>42</v>
      </c>
      <c r="K43" t="n">
        <v>0.073</v>
      </c>
      <c r="L43" t="inlineStr">
        <is>
          <t>confirmed</t>
        </is>
      </c>
    </row>
    <row r="44">
      <c r="A44" t="inlineStr">
        <is>
          <t>OVL_43</t>
        </is>
      </c>
      <c r="B44" t="n">
        <v>24.01</v>
      </c>
      <c r="C44" t="n">
        <v>2485</v>
      </c>
      <c r="D44" t="inlineStr">
        <is>
          <t>Dominion Energy South Carolina</t>
        </is>
      </c>
      <c r="E44" t="inlineStr">
        <is>
          <t>DESC_35</t>
        </is>
      </c>
      <c r="F44" t="inlineStr">
        <is>
          <t>Urquhart – Toolebeck 115kV line: Rebuild</t>
        </is>
      </c>
      <c r="G44" t="inlineStr">
        <is>
          <t>Georgia Power</t>
        </is>
      </c>
      <c r="H44" t="inlineStr">
        <is>
          <t>GPC_128</t>
        </is>
      </c>
      <c r="I44" t="inlineStr">
        <is>
          <t>EVANS PRIMARY - THURMOND DAM (USA) #5 115KV REBUILD</t>
        </is>
      </c>
      <c r="J44" t="n">
        <v>43</v>
      </c>
      <c r="K44" t="n">
        <v>0.0276</v>
      </c>
      <c r="L44" t="inlineStr">
        <is>
          <t>confirmed</t>
        </is>
      </c>
    </row>
    <row r="45">
      <c r="A45" t="inlineStr">
        <is>
          <t>OVL_44</t>
        </is>
      </c>
      <c r="B45" t="n">
        <v>24.01</v>
      </c>
      <c r="C45" t="n">
        <v>2485</v>
      </c>
      <c r="D45" t="inlineStr">
        <is>
          <t>Dominion Energy South Carolina</t>
        </is>
      </c>
      <c r="E45" t="inlineStr">
        <is>
          <t>DESC_35</t>
        </is>
      </c>
      <c r="F45" t="inlineStr">
        <is>
          <t>Urquhart – Toolebeck 115kV line: Rebuild</t>
        </is>
      </c>
      <c r="G45" t="inlineStr">
        <is>
          <t>Georgia Power</t>
        </is>
      </c>
      <c r="H45" t="inlineStr">
        <is>
          <t>GPC_129</t>
        </is>
      </c>
      <c r="I45" t="inlineStr">
        <is>
          <t>EVANS PRIMARY - THURMOND DAM (USA) #6 115KV REBUILD</t>
        </is>
      </c>
      <c r="J45" t="n">
        <v>44</v>
      </c>
      <c r="K45" t="n">
        <v>0.0276</v>
      </c>
      <c r="L45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endpoint</t>
        </is>
      </c>
      <c r="D1" s="1" t="inlineStr">
        <is>
          <t>confidence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</t>
        </is>
      </c>
      <c r="H1" s="1" t="inlineStr">
        <is>
          <t>name_score</t>
        </is>
      </c>
      <c r="I1" s="1" t="inlineStr">
        <is>
          <t>operator_ok</t>
        </is>
      </c>
      <c r="J1" s="1" t="inlineStr">
        <is>
          <t>zone_km</t>
        </is>
      </c>
      <c r="K1" s="1" t="inlineStr">
        <is>
          <t>osm_vs_organizer_km</t>
        </is>
      </c>
      <c r="L1" s="1" t="inlineStr">
        <is>
          <t>notes</t>
        </is>
      </c>
    </row>
    <row r="2">
      <c r="A2" t="inlineStr">
        <is>
          <t>DESC_1</t>
        </is>
      </c>
      <c r="B2" t="inlineStr">
        <is>
          <t>Queensboro - Ft Johnson 115 kV &amp; Queensboro-Bayfront 115kV (Queensboro-James Island Sect)</t>
        </is>
      </c>
      <c r="C2" t="inlineStr">
        <is>
          <t>Queensboro</t>
        </is>
      </c>
      <c r="D2" s="2" t="inlineStr">
        <is>
          <t>confirmed</t>
        </is>
      </c>
      <c r="E2" t="n">
        <v>32.722793</v>
      </c>
      <c r="F2" t="n">
        <v>-79.967332</v>
      </c>
      <c r="G2" t="inlineStr">
        <is>
          <t>organizer worked example</t>
        </is>
      </c>
      <c r="L2" t="inlineStr"/>
    </row>
    <row r="3">
      <c r="A3" t="inlineStr">
        <is>
          <t>DESC_1</t>
        </is>
      </c>
      <c r="B3" t="inlineStr">
        <is>
          <t>Queensboro - Ft Johnson 115 kV &amp; Queensboro-Bayfront 115kV (Queensboro-James Island Sect)</t>
        </is>
      </c>
      <c r="C3" t="inlineStr">
        <is>
          <t>Ft Johnson</t>
        </is>
      </c>
      <c r="D3" s="3" t="inlineStr">
        <is>
          <t>unlocated</t>
        </is>
      </c>
      <c r="L3" t="inlineStr">
        <is>
          <t>no OSM substation or Nominatim place matched</t>
        </is>
      </c>
    </row>
    <row r="4">
      <c r="A4" t="inlineStr">
        <is>
          <t>DESC_2</t>
        </is>
      </c>
      <c r="B4" t="inlineStr">
        <is>
          <t>Union Pier 115-13.8 kV Sub: Tap</t>
        </is>
      </c>
      <c r="C4" t="inlineStr">
        <is>
          <t>Union Pier</t>
        </is>
      </c>
      <c r="D4" s="3" t="inlineStr">
        <is>
          <t>unlocated</t>
        </is>
      </c>
      <c r="L4" t="inlineStr">
        <is>
          <t>no OSM substation or Nominatim place matched</t>
        </is>
      </c>
    </row>
    <row r="5">
      <c r="A5" t="inlineStr">
        <is>
          <t>DESC_3</t>
        </is>
      </c>
      <c r="B5" t="inlineStr">
        <is>
          <t>Okatie 230-115kV Substation, Jasper – Yemassee 230kV #1 Fold-in</t>
        </is>
      </c>
      <c r="C5" t="inlineStr">
        <is>
          <t>Okatie</t>
        </is>
      </c>
      <c r="D5" s="2" t="inlineStr">
        <is>
          <t>confirmed</t>
        </is>
      </c>
      <c r="E5" t="n">
        <v>32.333758</v>
      </c>
      <c r="F5" t="n">
        <v>-81.032495</v>
      </c>
      <c r="G5" t="inlineStr">
        <is>
          <t>organizer worked example</t>
        </is>
      </c>
      <c r="L5" t="inlineStr"/>
    </row>
    <row r="6">
      <c r="A6" t="inlineStr">
        <is>
          <t>DESC_3</t>
        </is>
      </c>
      <c r="B6" t="inlineStr">
        <is>
          <t>Okatie 230-115kV Substation, Jasper – Yemassee 230kV #1 Fold-in</t>
        </is>
      </c>
      <c r="C6" t="inlineStr">
        <is>
          <t>Yemassee</t>
        </is>
      </c>
      <c r="D6" s="2" t="inlineStr">
        <is>
          <t>confirmed</t>
        </is>
      </c>
      <c r="E6" t="n">
        <v>32.6974259</v>
      </c>
      <c r="F6" t="n">
        <v>-80.86379290000001</v>
      </c>
      <c r="G6" t="inlineStr">
        <is>
          <t>OSM way/185317032 'Yemassee Substation' [South Carolina Electric &amp; Gas Company]</t>
        </is>
      </c>
      <c r="H6" t="n">
        <v>100</v>
      </c>
      <c r="I6" t="b">
        <v>1</v>
      </c>
      <c r="L6" t="inlineStr"/>
    </row>
    <row r="7">
      <c r="A7" t="inlineStr">
        <is>
          <t>DESC_4</t>
        </is>
      </c>
      <c r="B7" t="inlineStr">
        <is>
          <t>Cainhoy - Hamlin 115kV: Rebuild Line and Cainhoy – Hamlin 115 kV #2: Construct New 115 kV Line</t>
        </is>
      </c>
      <c r="C7" t="inlineStr">
        <is>
          <t>Cainhoy</t>
        </is>
      </c>
      <c r="D7" s="2" t="inlineStr">
        <is>
          <t>confirmed</t>
        </is>
      </c>
      <c r="E7" t="n">
        <v>32.941402</v>
      </c>
      <c r="F7" t="n">
        <v>-79.8422757</v>
      </c>
      <c r="G7" t="inlineStr">
        <is>
          <t>OSM way/229116275 'Cainhoy Substation' [Dominion Energy South Carolina]</t>
        </is>
      </c>
      <c r="H7" t="n">
        <v>100</v>
      </c>
      <c r="I7" t="b">
        <v>1</v>
      </c>
      <c r="L7" t="inlineStr"/>
    </row>
    <row r="8">
      <c r="A8" t="inlineStr">
        <is>
          <t>DESC_4</t>
        </is>
      </c>
      <c r="B8" t="inlineStr">
        <is>
          <t>Cainhoy - Hamlin 115kV: Rebuild Line and Cainhoy – Hamlin 115 kV #2: Construct New 115 kV Line</t>
        </is>
      </c>
      <c r="C8" t="inlineStr">
        <is>
          <t>Hamlin</t>
        </is>
      </c>
      <c r="D8" s="2" t="inlineStr">
        <is>
          <t>confirmed</t>
        </is>
      </c>
      <c r="E8" t="n">
        <v>32.859937</v>
      </c>
      <c r="F8" t="n">
        <v>-79.7884409</v>
      </c>
      <c r="G8" t="inlineStr">
        <is>
          <t>OSM way/229116306 'Hamlin Substation' [South Carolina Gas &amp; Electric]</t>
        </is>
      </c>
      <c r="H8" t="n">
        <v>100</v>
      </c>
      <c r="I8" t="b">
        <v>1</v>
      </c>
      <c r="L8" t="inlineStr"/>
    </row>
    <row r="9">
      <c r="A9" t="inlineStr">
        <is>
          <t>DESC_5</t>
        </is>
      </c>
      <c r="B9" t="inlineStr">
        <is>
          <t>Eastover - Square D 115kV: Rebuild</t>
        </is>
      </c>
      <c r="C9" t="inlineStr">
        <is>
          <t>Eastover</t>
        </is>
      </c>
      <c r="D9" s="4" t="inlineStr">
        <is>
          <t>low_confidence</t>
        </is>
      </c>
      <c r="E9" t="n">
        <v>33.8771147</v>
      </c>
      <c r="F9" t="n">
        <v>-80.6922594</v>
      </c>
      <c r="G9" t="inlineStr">
        <is>
          <t>Nominatim place: Eastover, Richland County, South Carolina, United States</t>
        </is>
      </c>
      <c r="H9" t="n">
        <v>100</v>
      </c>
      <c r="L9" t="inlineStr">
        <is>
          <t>no substation in OSM; using the centroid of the town it is named after | low confidence: town centroid, not the substation itself</t>
        </is>
      </c>
    </row>
    <row r="10">
      <c r="A10" t="inlineStr">
        <is>
          <t>DESC_5</t>
        </is>
      </c>
      <c r="B10" t="inlineStr">
        <is>
          <t>Eastover - Square D 115kV: Rebuild</t>
        </is>
      </c>
      <c r="C10" t="inlineStr">
        <is>
          <t>Square D</t>
        </is>
      </c>
      <c r="D10" s="3" t="inlineStr">
        <is>
          <t>unlocated</t>
        </is>
      </c>
      <c r="L10" t="inlineStr">
        <is>
          <t>no OSM substation or Nominatim place matched</t>
        </is>
      </c>
    </row>
    <row r="11">
      <c r="A11" t="inlineStr">
        <is>
          <t>DESC_6</t>
        </is>
      </c>
      <c r="B11" t="inlineStr">
        <is>
          <t>Burton-St Helena 115kV: Rebuild Burton-Frogmore Transmission Section</t>
        </is>
      </c>
      <c r="C11" t="inlineStr">
        <is>
          <t>Burton</t>
        </is>
      </c>
      <c r="D11" s="2" t="inlineStr">
        <is>
          <t>confirmed</t>
        </is>
      </c>
      <c r="E11" t="n">
        <v>32.4364883</v>
      </c>
      <c r="F11" t="n">
        <v>-80.7210159</v>
      </c>
      <c r="G11" t="inlineStr">
        <is>
          <t>OSM way/185362029 'Burton Substation' [South Carolina Electric &amp; Gas Company]</t>
        </is>
      </c>
      <c r="H11" t="n">
        <v>100</v>
      </c>
      <c r="I11" t="b">
        <v>1</v>
      </c>
      <c r="L11" t="inlineStr"/>
    </row>
    <row r="12">
      <c r="A12" t="inlineStr">
        <is>
          <t>DESC_6</t>
        </is>
      </c>
      <c r="B12" t="inlineStr">
        <is>
          <t>Burton-St Helena 115kV: Rebuild Burton-Frogmore Transmission Section</t>
        </is>
      </c>
      <c r="C12" t="inlineStr">
        <is>
          <t>St Helena</t>
        </is>
      </c>
      <c r="D12" s="3" t="inlineStr">
        <is>
          <t>unlocated</t>
        </is>
      </c>
      <c r="L12" t="inlineStr">
        <is>
          <t>no OSM substation or Nominatim place matched</t>
        </is>
      </c>
    </row>
    <row r="13">
      <c r="A13" t="inlineStr">
        <is>
          <t>DESC_7</t>
        </is>
      </c>
      <c r="B13" t="inlineStr">
        <is>
          <t>Burton-St Helena 115kV: Frogmore Distribution - St Helena</t>
        </is>
      </c>
      <c r="C13" t="inlineStr">
        <is>
          <t>Burton</t>
        </is>
      </c>
      <c r="D13" s="2" t="inlineStr">
        <is>
          <t>confirmed</t>
        </is>
      </c>
      <c r="E13" t="n">
        <v>32.4364883</v>
      </c>
      <c r="F13" t="n">
        <v>-80.7210159</v>
      </c>
      <c r="G13" t="inlineStr">
        <is>
          <t>OSM way/185362029 'Burton Substation' [South Carolina Electric &amp; Gas Company]</t>
        </is>
      </c>
      <c r="H13" t="n">
        <v>100</v>
      </c>
      <c r="I13" t="b">
        <v>1</v>
      </c>
      <c r="L13" t="inlineStr"/>
    </row>
    <row r="14">
      <c r="A14" t="inlineStr">
        <is>
          <t>DESC_7</t>
        </is>
      </c>
      <c r="B14" t="inlineStr">
        <is>
          <t>Burton-St Helena 115kV: Frogmore Distribution - St Helena</t>
        </is>
      </c>
      <c r="C14" t="inlineStr">
        <is>
          <t>St Helena</t>
        </is>
      </c>
      <c r="D14" s="3" t="inlineStr">
        <is>
          <t>unlocated</t>
        </is>
      </c>
      <c r="L14" t="inlineStr">
        <is>
          <t>no OSM substation or Nominatim place matched</t>
        </is>
      </c>
    </row>
    <row r="15">
      <c r="A15" t="inlineStr">
        <is>
          <t>DESC_8</t>
        </is>
      </c>
      <c r="B15" t="inlineStr">
        <is>
          <t>VCS1-Denny Terrace 230kV &amp; VCS1-Pineland 230kV: Rebuild Single Circuit Sections</t>
        </is>
      </c>
      <c r="C15" t="inlineStr">
        <is>
          <t>VCS1</t>
        </is>
      </c>
      <c r="D15" s="3" t="inlineStr">
        <is>
          <t>unlocated</t>
        </is>
      </c>
      <c r="L15" t="inlineStr">
        <is>
          <t>no OSM substation or Nominatim place matched</t>
        </is>
      </c>
    </row>
    <row r="16">
      <c r="A16" t="inlineStr">
        <is>
          <t>DESC_8</t>
        </is>
      </c>
      <c r="B16" t="inlineStr">
        <is>
          <t>VCS1-Denny Terrace 230kV &amp; VCS1-Pineland 230kV: Rebuild Single Circuit Sections</t>
        </is>
      </c>
      <c r="C16" t="inlineStr">
        <is>
          <t>Denny Terrace</t>
        </is>
      </c>
      <c r="D16" s="2" t="inlineStr">
        <is>
          <t>confirmed</t>
        </is>
      </c>
      <c r="E16" t="n">
        <v>34.0576091</v>
      </c>
      <c r="F16" t="n">
        <v>-81.061561</v>
      </c>
      <c r="G16" t="inlineStr">
        <is>
          <t>OSM way/185130609 'Denny Terrace Substation' [South Carolina Electric &amp; Gas Company]</t>
        </is>
      </c>
      <c r="H16" t="n">
        <v>100</v>
      </c>
      <c r="I16" t="b">
        <v>1</v>
      </c>
      <c r="L16" t="inlineStr"/>
    </row>
    <row r="17">
      <c r="A17" t="inlineStr">
        <is>
          <t>DESC_9</t>
        </is>
      </c>
      <c r="B17" t="inlineStr">
        <is>
          <t>Wateree-Killian 230kV: Rebuild</t>
        </is>
      </c>
      <c r="C17" t="inlineStr">
        <is>
          <t>Wateree</t>
        </is>
      </c>
      <c r="D17" s="4" t="inlineStr">
        <is>
          <t>low_confidence</t>
        </is>
      </c>
      <c r="E17" t="n">
        <v>34.3346578</v>
      </c>
      <c r="F17" t="n">
        <v>-80.70231939999999</v>
      </c>
      <c r="G17" t="inlineStr">
        <is>
          <t>OSM way/206005320 'Wateree Dam Substation' [no operator tag]</t>
        </is>
      </c>
      <c r="H17" t="n">
        <v>100</v>
      </c>
      <c r="I17" t="b">
        <v>0</v>
      </c>
      <c r="L17" t="inlineStr">
        <is>
          <t>2 same-named OSM substations and no context to choose | low confidence: OSM operator tag missing or not this utility; ambiguous, several same-named substations</t>
        </is>
      </c>
    </row>
    <row r="18">
      <c r="A18" t="inlineStr">
        <is>
          <t>DESC_9</t>
        </is>
      </c>
      <c r="B18" t="inlineStr">
        <is>
          <t>Wateree-Killian 230kV: Rebuild</t>
        </is>
      </c>
      <c r="C18" t="inlineStr">
        <is>
          <t>Killian</t>
        </is>
      </c>
      <c r="D18" s="4" t="inlineStr">
        <is>
          <t>low_confidence</t>
        </is>
      </c>
      <c r="E18" t="n">
        <v>34.1359182</v>
      </c>
      <c r="F18" t="n">
        <v>-80.92814679999999</v>
      </c>
      <c r="G18" t="inlineStr">
        <is>
          <t>Nominatim place: Killian Station, Richland County, South Carolina, 31299, United States</t>
        </is>
      </c>
      <c r="H18" t="n">
        <v>100</v>
      </c>
      <c r="L18" t="inlineStr">
        <is>
          <t>no substation in OSM; using the centroid of the town it is named after | low confidence: town centroid, not the substation itself</t>
        </is>
      </c>
    </row>
    <row r="19">
      <c r="A19" t="inlineStr">
        <is>
          <t>DESC_10</t>
        </is>
      </c>
      <c r="B19" t="inlineStr">
        <is>
          <t>Okatie-Bluffton 115kV: Rebuild</t>
        </is>
      </c>
      <c r="C19" t="inlineStr">
        <is>
          <t>Okatie</t>
        </is>
      </c>
      <c r="D19" s="2" t="inlineStr">
        <is>
          <t>confirmed</t>
        </is>
      </c>
      <c r="E19" t="n">
        <v>32.333758</v>
      </c>
      <c r="F19" t="n">
        <v>-81.032495</v>
      </c>
      <c r="G19" t="inlineStr">
        <is>
          <t>organizer worked example</t>
        </is>
      </c>
      <c r="L19" t="inlineStr"/>
    </row>
    <row r="20">
      <c r="A20" t="inlineStr">
        <is>
          <t>DESC_10</t>
        </is>
      </c>
      <c r="B20" t="inlineStr">
        <is>
          <t>Okatie-Bluffton 115kV: Rebuild</t>
        </is>
      </c>
      <c r="C20" t="inlineStr">
        <is>
          <t>Bluffton</t>
        </is>
      </c>
      <c r="D20" s="2" t="inlineStr">
        <is>
          <t>confirmed</t>
        </is>
      </c>
      <c r="E20" t="n">
        <v>32.235027</v>
      </c>
      <c r="F20" t="n">
        <v>-80.85338400000001</v>
      </c>
      <c r="G20" t="inlineStr">
        <is>
          <t>organizer worked example</t>
        </is>
      </c>
      <c r="K20" t="n">
        <v>0</v>
      </c>
      <c r="L20" t="inlineStr">
        <is>
          <t>OSM 'Bluffton Substation' (way/498967268) lands 0.00 km from the organizer point</t>
        </is>
      </c>
    </row>
    <row r="21">
      <c r="A21" t="inlineStr">
        <is>
          <t>DESC_11</t>
        </is>
      </c>
      <c r="B21" t="inlineStr">
        <is>
          <t>Hopkins-CIP 230kV: Rebuild</t>
        </is>
      </c>
      <c r="C21" t="inlineStr">
        <is>
          <t>Hopkins</t>
        </is>
      </c>
      <c r="D21" s="4" t="inlineStr">
        <is>
          <t>low_confidence</t>
        </is>
      </c>
      <c r="E21" t="n">
        <v>33.9043212</v>
      </c>
      <c r="F21" t="n">
        <v>-80.8770342</v>
      </c>
      <c r="G21" t="inlineStr">
        <is>
          <t>Nominatim place: Hopkins, Richland County, South Carolina, 29061, United States</t>
        </is>
      </c>
      <c r="H21" t="n">
        <v>100</v>
      </c>
      <c r="L21" t="inlineStr">
        <is>
          <t>no substation in OSM; using the centroid of the town it is named after | low confidence: town centroid, not the substation itself</t>
        </is>
      </c>
    </row>
    <row r="22">
      <c r="A22" t="inlineStr">
        <is>
          <t>DESC_11</t>
        </is>
      </c>
      <c r="B22" t="inlineStr">
        <is>
          <t>Hopkins-CIP 230kV: Rebuild</t>
        </is>
      </c>
      <c r="C22" t="inlineStr">
        <is>
          <t>CIP</t>
        </is>
      </c>
      <c r="D22" s="3" t="inlineStr">
        <is>
          <t>unlocated</t>
        </is>
      </c>
      <c r="L22" t="inlineStr">
        <is>
          <t>no OSM substation or Nominatim place matched</t>
        </is>
      </c>
    </row>
    <row r="23">
      <c r="A23" t="inlineStr">
        <is>
          <t>DESC_12</t>
        </is>
      </c>
      <c r="B23" t="inlineStr">
        <is>
          <t>Faber Place-Bayfront 115kV: Rebuild North Bridge Terrace to Bayfront Section</t>
        </is>
      </c>
      <c r="C23" t="inlineStr">
        <is>
          <t>Faber Place</t>
        </is>
      </c>
      <c r="D23" s="2" t="inlineStr">
        <is>
          <t>confirmed</t>
        </is>
      </c>
      <c r="E23" t="n">
        <v>32.8500798</v>
      </c>
      <c r="F23" t="n">
        <v>-80.01462410000001</v>
      </c>
      <c r="G23" t="inlineStr">
        <is>
          <t>OSM way/217507829 'Faber Place Substation' [no operator tag]</t>
        </is>
      </c>
      <c r="H23" t="n">
        <v>100</v>
      </c>
      <c r="I23" t="b">
        <v>0</v>
      </c>
      <c r="L23" t="inlineStr">
        <is>
          <t>confirmed: exact name, only such substation in the state; OSM has no operator tag</t>
        </is>
      </c>
    </row>
    <row r="24">
      <c r="A24" t="inlineStr">
        <is>
          <t>DESC_12</t>
        </is>
      </c>
      <c r="B24" t="inlineStr">
        <is>
          <t>Faber Place-Bayfront 115kV: Rebuild North Bridge Terrace to Bayfront Section</t>
        </is>
      </c>
      <c r="C24" t="inlineStr">
        <is>
          <t>Bayfront</t>
        </is>
      </c>
      <c r="D24" s="4" t="inlineStr">
        <is>
          <t>low_confidence</t>
        </is>
      </c>
      <c r="E24" t="n">
        <v>32.742122</v>
      </c>
      <c r="F24" t="n">
        <v>-79.96342370000001</v>
      </c>
      <c r="G24" t="inlineStr">
        <is>
          <t>Nominatim place: Bayfront, James Island, Charleston County, South Carolina, 29412, United States</t>
        </is>
      </c>
      <c r="H24" t="n">
        <v>100</v>
      </c>
      <c r="L24" t="inlineStr">
        <is>
          <t>no substation in OSM; using the centroid of the town it is named after | low confidence: town centroid, not the substation itself</t>
        </is>
      </c>
    </row>
    <row r="25">
      <c r="A25" t="inlineStr">
        <is>
          <t>DESC_13</t>
        </is>
      </c>
      <c r="B25" t="inlineStr">
        <is>
          <t>Square D - Hopkins 115kV: Rebuild</t>
        </is>
      </c>
      <c r="C25" t="inlineStr">
        <is>
          <t>Square D</t>
        </is>
      </c>
      <c r="D25" s="3" t="inlineStr">
        <is>
          <t>unlocated</t>
        </is>
      </c>
      <c r="L25" t="inlineStr">
        <is>
          <t>no OSM substation or Nominatim place matched</t>
        </is>
      </c>
    </row>
    <row r="26">
      <c r="A26" t="inlineStr">
        <is>
          <t>DESC_13</t>
        </is>
      </c>
      <c r="B26" t="inlineStr">
        <is>
          <t>Square D - Hopkins 115kV: Rebuild</t>
        </is>
      </c>
      <c r="C26" t="inlineStr">
        <is>
          <t>Hopkins</t>
        </is>
      </c>
      <c r="D26" s="4" t="inlineStr">
        <is>
          <t>low_confidence</t>
        </is>
      </c>
      <c r="E26" t="n">
        <v>33.9043212</v>
      </c>
      <c r="F26" t="n">
        <v>-80.8770342</v>
      </c>
      <c r="G26" t="inlineStr">
        <is>
          <t>Nominatim place: Hopkins, Richland County, South Carolina, 29061, United States</t>
        </is>
      </c>
      <c r="H26" t="n">
        <v>100</v>
      </c>
      <c r="L26" t="inlineStr">
        <is>
          <t>no substation in OSM; using the centroid of the town it is named after | low confidence: town centroid, not the substation itself</t>
        </is>
      </c>
    </row>
    <row r="27">
      <c r="A27" t="inlineStr">
        <is>
          <t>DESC_14</t>
        </is>
      </c>
      <c r="B27" t="inlineStr">
        <is>
          <t>Stevens Creek - Hooks 115kV/LR Plumb Branch 46kV Rebuilds</t>
        </is>
      </c>
      <c r="C27" t="inlineStr">
        <is>
          <t>Stevens Creek</t>
        </is>
      </c>
      <c r="D27" s="2" t="inlineStr">
        <is>
          <t>confirmed</t>
        </is>
      </c>
      <c r="E27" t="n">
        <v>33.562599</v>
      </c>
      <c r="F27" t="n">
        <v>-82.051362</v>
      </c>
      <c r="G27" t="inlineStr">
        <is>
          <t>organizer worked example</t>
        </is>
      </c>
      <c r="K27" t="n">
        <v>0.21</v>
      </c>
      <c r="L27" t="inlineStr">
        <is>
          <t>OSM 'Stevens Creek Dam Substation' (way/52102616) lands 0.21 km from the organizer point</t>
        </is>
      </c>
    </row>
    <row r="28">
      <c r="A28" t="inlineStr">
        <is>
          <t>DESC_14</t>
        </is>
      </c>
      <c r="B28" t="inlineStr">
        <is>
          <t>Stevens Creek - Hooks 115kV/LR Plumb Branch 46kV Rebuilds</t>
        </is>
      </c>
      <c r="C28" t="inlineStr">
        <is>
          <t>Hooks</t>
        </is>
      </c>
      <c r="D28" s="3" t="inlineStr">
        <is>
          <t>unlocated</t>
        </is>
      </c>
      <c r="L28" t="inlineStr">
        <is>
          <t>no OSM substation or Nominatim place matched</t>
        </is>
      </c>
    </row>
    <row r="29">
      <c r="A29" t="inlineStr">
        <is>
          <t>DESC_15</t>
        </is>
      </c>
      <c r="B29" t="inlineStr">
        <is>
          <t>Stevens Creek - Hooks 115kV/LR Plumb Branch 46kV</t>
        </is>
      </c>
      <c r="C29" t="inlineStr">
        <is>
          <t>Stevens Creek</t>
        </is>
      </c>
      <c r="D29" s="2" t="inlineStr">
        <is>
          <t>confirmed</t>
        </is>
      </c>
      <c r="E29" t="n">
        <v>33.562599</v>
      </c>
      <c r="F29" t="n">
        <v>-82.051362</v>
      </c>
      <c r="G29" t="inlineStr">
        <is>
          <t>organizer worked example</t>
        </is>
      </c>
      <c r="K29" t="n">
        <v>0.21</v>
      </c>
      <c r="L29" t="inlineStr">
        <is>
          <t>OSM 'Stevens Creek Dam Substation' (way/52102616) lands 0.21 km from the organizer point</t>
        </is>
      </c>
    </row>
    <row r="30">
      <c r="A30" t="inlineStr">
        <is>
          <t>DESC_15</t>
        </is>
      </c>
      <c r="B30" t="inlineStr">
        <is>
          <t>Stevens Creek - Hooks 115kV/LR Plumb Branch 46kV</t>
        </is>
      </c>
      <c r="C30" t="inlineStr">
        <is>
          <t>Hooks</t>
        </is>
      </c>
      <c r="D30" s="3" t="inlineStr">
        <is>
          <t>unlocated</t>
        </is>
      </c>
      <c r="L30" t="inlineStr">
        <is>
          <t>no OSM substation or Nominatim place matched</t>
        </is>
      </c>
    </row>
    <row r="31">
      <c r="A31" t="inlineStr">
        <is>
          <t>DESC_16</t>
        </is>
      </c>
      <c r="B31" t="inlineStr">
        <is>
          <t>Edenwood Sub: #1 &amp; #2 230-115kV Autobanks, Replace with 336MVA</t>
        </is>
      </c>
      <c r="C31" t="inlineStr">
        <is>
          <t>Edenwood</t>
        </is>
      </c>
      <c r="D31" s="4" t="inlineStr">
        <is>
          <t>low_confidence</t>
        </is>
      </c>
      <c r="E31" t="n">
        <v>33.953765</v>
      </c>
      <c r="F31" t="n">
        <v>-81.0598155</v>
      </c>
      <c r="G31" t="inlineStr">
        <is>
          <t>Nominatim place: Edenwood, Cayce, Lexington County, South Carolina, 29033, United States</t>
        </is>
      </c>
      <c r="H31" t="n">
        <v>100</v>
      </c>
      <c r="L31" t="inlineStr">
        <is>
          <t>no substation in OSM; using the centroid of the town it is named after | low confidence: town centroid, not the substation itself</t>
        </is>
      </c>
    </row>
    <row r="32">
      <c r="A32" t="inlineStr">
        <is>
          <t>DESC_17</t>
        </is>
      </c>
      <c r="B32" t="inlineStr">
        <is>
          <t>Williams St Sub: Replace Sw House &amp; Relays, AM Williams Sub: Replace Sw House, and McMeekin Sub: Add Sw House</t>
        </is>
      </c>
      <c r="C32" t="inlineStr">
        <is>
          <t>Williams St</t>
        </is>
      </c>
      <c r="D32" s="3" t="inlineStr">
        <is>
          <t>unlocated</t>
        </is>
      </c>
      <c r="L32" t="inlineStr">
        <is>
          <t>no OSM substation or Nominatim place matched</t>
        </is>
      </c>
    </row>
    <row r="33">
      <c r="A33" t="inlineStr">
        <is>
          <t>DESC_18</t>
        </is>
      </c>
      <c r="B33" t="inlineStr">
        <is>
          <t>Harleyville 115KV Transmission Tap – Construct (1.4 miles)</t>
        </is>
      </c>
      <c r="C33" t="inlineStr">
        <is>
          <t>Harleyville</t>
        </is>
      </c>
      <c r="D33" s="2" t="inlineStr">
        <is>
          <t>confirmed</t>
        </is>
      </c>
      <c r="E33" t="n">
        <v>33.2099069</v>
      </c>
      <c r="F33" t="n">
        <v>-80.4511658</v>
      </c>
      <c r="G33" t="inlineStr">
        <is>
          <t>OSM way/1075801506 'Harleyville Substation' [no operator tag]</t>
        </is>
      </c>
      <c r="H33" t="n">
        <v>100</v>
      </c>
      <c r="I33" t="b">
        <v>0</v>
      </c>
      <c r="L33" t="inlineStr">
        <is>
          <t>confirmed: exact name, only such substation in the state; OSM has no operator tag</t>
        </is>
      </c>
    </row>
    <row r="34">
      <c r="A34" t="inlineStr">
        <is>
          <t>DESC_19</t>
        </is>
      </c>
      <c r="B34" t="inlineStr">
        <is>
          <t>Summerville: Replace and Spare 230-115kV 336MVA Auto Bank</t>
        </is>
      </c>
      <c r="C34" t="inlineStr">
        <is>
          <t>Summerville</t>
        </is>
      </c>
      <c r="D34" s="4" t="inlineStr">
        <is>
          <t>low_confidence</t>
        </is>
      </c>
      <c r="E34" t="n">
        <v>33.0186699</v>
      </c>
      <c r="F34" t="n">
        <v>-80.17627040000001</v>
      </c>
      <c r="G34" t="inlineStr">
        <is>
          <t>Nominatim place: Summerville, Dorchester County, South Carolina, United States</t>
        </is>
      </c>
      <c r="H34" t="n">
        <v>100</v>
      </c>
      <c r="L34" t="inlineStr">
        <is>
          <t>no substation in OSM; using the centroid of the town it is named after | low confidence: town centroid, not the substation itself</t>
        </is>
      </c>
    </row>
    <row r="35">
      <c r="A35" t="inlineStr">
        <is>
          <t>DESC_20</t>
        </is>
      </c>
      <c r="B35" t="inlineStr">
        <is>
          <t>Canadys-Ritter 115KV-Rebld SPDC 230/115KV 1272 (Approx 18 Miles)</t>
        </is>
      </c>
      <c r="C35" t="inlineStr">
        <is>
          <t>Canadys</t>
        </is>
      </c>
      <c r="D35" s="2" t="inlineStr">
        <is>
          <t>confirmed</t>
        </is>
      </c>
      <c r="E35" t="n">
        <v>33.0640963</v>
      </c>
      <c r="F35" t="n">
        <v>-80.6205999</v>
      </c>
      <c r="G35" t="inlineStr">
        <is>
          <t>OSM way/185032900 'Canadys Substation' [South Carolina Electric &amp; Gas Company]</t>
        </is>
      </c>
      <c r="H35" t="n">
        <v>100</v>
      </c>
      <c r="I35" t="b">
        <v>1</v>
      </c>
      <c r="L35" t="inlineStr"/>
    </row>
    <row r="36">
      <c r="A36" t="inlineStr">
        <is>
          <t>DESC_20</t>
        </is>
      </c>
      <c r="B36" t="inlineStr">
        <is>
          <t>Canadys-Ritter 115KV-Rebld SPDC 230/115KV 1272 (Approx 18 Miles)</t>
        </is>
      </c>
      <c r="C36" t="inlineStr">
        <is>
          <t>Ritter</t>
        </is>
      </c>
      <c r="D36" s="4" t="inlineStr">
        <is>
          <t>low_confidence</t>
        </is>
      </c>
      <c r="E36" t="n">
        <v>32.7896202</v>
      </c>
      <c r="F36" t="n">
        <v>-80.6303822</v>
      </c>
      <c r="G36" t="inlineStr">
        <is>
          <t>Nominatim place: Ritter, Colleton County, South Carolina, United States</t>
        </is>
      </c>
      <c r="H36" t="n">
        <v>100</v>
      </c>
      <c r="L36" t="inlineStr">
        <is>
          <t>no substation in OSM; using the centroid of the town it is named after | low confidence: town centroid, not the substation itself</t>
        </is>
      </c>
    </row>
    <row r="37">
      <c r="A37" t="inlineStr">
        <is>
          <t>DESC_21</t>
        </is>
      </c>
      <c r="B37" t="inlineStr">
        <is>
          <t>Yemassee– Ritter 230kV #1 &amp; #2: Construct SPDC with B-1272</t>
        </is>
      </c>
      <c r="C37" t="inlineStr">
        <is>
          <t>Yemassee</t>
        </is>
      </c>
      <c r="D37" s="2" t="inlineStr">
        <is>
          <t>confirmed</t>
        </is>
      </c>
      <c r="E37" t="n">
        <v>32.6974259</v>
      </c>
      <c r="F37" t="n">
        <v>-80.86379290000001</v>
      </c>
      <c r="G37" t="inlineStr">
        <is>
          <t>OSM way/185317032 'Yemassee Substation' [South Carolina Electric &amp; Gas Company]</t>
        </is>
      </c>
      <c r="H37" t="n">
        <v>100</v>
      </c>
      <c r="I37" t="b">
        <v>1</v>
      </c>
      <c r="L37" t="inlineStr"/>
    </row>
    <row r="38">
      <c r="A38" t="inlineStr">
        <is>
          <t>DESC_21</t>
        </is>
      </c>
      <c r="B38" t="inlineStr">
        <is>
          <t>Yemassee– Ritter 230kV #1 &amp; #2: Construct SPDC with B-1272</t>
        </is>
      </c>
      <c r="C38" t="inlineStr">
        <is>
          <t>Ritter</t>
        </is>
      </c>
      <c r="D38" s="4" t="inlineStr">
        <is>
          <t>low_confidence</t>
        </is>
      </c>
      <c r="E38" t="n">
        <v>32.7896202</v>
      </c>
      <c r="F38" t="n">
        <v>-80.6303822</v>
      </c>
      <c r="G38" t="inlineStr">
        <is>
          <t>Nominatim place: Ritter, Colleton County, South Carolina, United States</t>
        </is>
      </c>
      <c r="H38" t="n">
        <v>100</v>
      </c>
      <c r="L38" t="inlineStr">
        <is>
          <t>no substation in OSM; using the centroid of the town it is named after | low confidence: town centroid, not the substation itself</t>
        </is>
      </c>
    </row>
    <row r="39">
      <c r="A39" t="inlineStr">
        <is>
          <t>DESC_22</t>
        </is>
      </c>
      <c r="B39" t="inlineStr">
        <is>
          <t>Riverport Tap: Construct Tap</t>
        </is>
      </c>
      <c r="C39" t="inlineStr">
        <is>
          <t>Riverport</t>
        </is>
      </c>
      <c r="D39" s="3" t="inlineStr">
        <is>
          <t>unlocated</t>
        </is>
      </c>
      <c r="L39" t="inlineStr">
        <is>
          <t>no OSM substation or Nominatim place matched</t>
        </is>
      </c>
    </row>
    <row r="40">
      <c r="A40" t="inlineStr">
        <is>
          <t>DESC_23</t>
        </is>
      </c>
      <c r="B40" t="inlineStr">
        <is>
          <t>Jasper – Okatie 230 kV #2: Construct</t>
        </is>
      </c>
      <c r="C40" t="inlineStr">
        <is>
          <t>Jasper</t>
        </is>
      </c>
      <c r="D40" s="2" t="inlineStr">
        <is>
          <t>confirmed</t>
        </is>
      </c>
      <c r="E40" t="n">
        <v>32.35912</v>
      </c>
      <c r="F40" t="n">
        <v>-81.1246</v>
      </c>
      <c r="G40" t="inlineStr">
        <is>
          <t>organizer worked example</t>
        </is>
      </c>
      <c r="K40" t="n">
        <v>0.18</v>
      </c>
      <c r="L40" t="inlineStr">
        <is>
          <t>OSM 'Jasper Substation' (way/185380597) lands 0.18 km from the organizer point</t>
        </is>
      </c>
    </row>
    <row r="41">
      <c r="A41" t="inlineStr">
        <is>
          <t>DESC_23</t>
        </is>
      </c>
      <c r="B41" t="inlineStr">
        <is>
          <t>Jasper – Okatie 230 kV #2: Construct</t>
        </is>
      </c>
      <c r="C41" t="inlineStr">
        <is>
          <t>Okatie</t>
        </is>
      </c>
      <c r="D41" s="2" t="inlineStr">
        <is>
          <t>confirmed</t>
        </is>
      </c>
      <c r="E41" t="n">
        <v>32.333758</v>
      </c>
      <c r="F41" t="n">
        <v>-81.032495</v>
      </c>
      <c r="G41" t="inlineStr">
        <is>
          <t>organizer worked example</t>
        </is>
      </c>
      <c r="L41" t="inlineStr"/>
    </row>
    <row r="42">
      <c r="A42" t="inlineStr">
        <is>
          <t>DESC_24</t>
        </is>
      </c>
      <c r="B42" t="inlineStr">
        <is>
          <t>Wagener 115kV Tap: Construct Tap</t>
        </is>
      </c>
      <c r="C42" t="inlineStr">
        <is>
          <t>Wagener</t>
        </is>
      </c>
      <c r="D42" s="2" t="inlineStr">
        <is>
          <t>confirmed</t>
        </is>
      </c>
      <c r="E42" t="n">
        <v>33.6501119</v>
      </c>
      <c r="F42" t="n">
        <v>-81.3605659</v>
      </c>
      <c r="G42" t="inlineStr">
        <is>
          <t>OSM way/993540535 'Wagener Substation' [South Carolina Gas &amp; Electric]</t>
        </is>
      </c>
      <c r="H42" t="n">
        <v>100</v>
      </c>
      <c r="I42" t="b">
        <v>1</v>
      </c>
      <c r="L42" t="inlineStr"/>
    </row>
    <row r="43">
      <c r="A43" t="inlineStr">
        <is>
          <t>DESC_25</t>
        </is>
      </c>
      <c r="B43" t="inlineStr">
        <is>
          <t>Church Creek - Ritter 230kV - Replace 38 Large Angles and Dead Ends</t>
        </is>
      </c>
      <c r="C43" t="inlineStr">
        <is>
          <t>Church Creek</t>
        </is>
      </c>
      <c r="D43" s="2" t="inlineStr">
        <is>
          <t>confirmed</t>
        </is>
      </c>
      <c r="E43" t="n">
        <v>32.8303196</v>
      </c>
      <c r="F43" t="n">
        <v>-80.0702792</v>
      </c>
      <c r="G43" t="inlineStr">
        <is>
          <t>OSM way/185330726 'Church Creek Substation' [no operator tag]</t>
        </is>
      </c>
      <c r="H43" t="n">
        <v>100</v>
      </c>
      <c r="I43" t="b">
        <v>0</v>
      </c>
      <c r="L43" t="inlineStr">
        <is>
          <t>confirmed: exact name, only such substation in the state; OSM has no operator tag</t>
        </is>
      </c>
    </row>
    <row r="44">
      <c r="A44" t="inlineStr">
        <is>
          <t>DESC_25</t>
        </is>
      </c>
      <c r="B44" t="inlineStr">
        <is>
          <t>Church Creek - Ritter 230kV - Replace 38 Large Angles and Dead Ends</t>
        </is>
      </c>
      <c r="C44" t="inlineStr">
        <is>
          <t>Ritter</t>
        </is>
      </c>
      <c r="D44" s="4" t="inlineStr">
        <is>
          <t>low_confidence</t>
        </is>
      </c>
      <c r="E44" t="n">
        <v>32.7896202</v>
      </c>
      <c r="F44" t="n">
        <v>-80.6303822</v>
      </c>
      <c r="G44" t="inlineStr">
        <is>
          <t>Nominatim place: Ritter, Colleton County, South Carolina, United States</t>
        </is>
      </c>
      <c r="H44" t="n">
        <v>100</v>
      </c>
      <c r="L44" t="inlineStr">
        <is>
          <t>no substation in OSM; using the centroid of the town it is named after | low confidence: town centroid, not the substation itself</t>
        </is>
      </c>
    </row>
    <row r="45">
      <c r="A45" t="inlineStr">
        <is>
          <t>DESC_26</t>
        </is>
      </c>
      <c r="B45" t="inlineStr">
        <is>
          <t>VCS2-Ward 230kV: Rebuild Line</t>
        </is>
      </c>
      <c r="C45" t="inlineStr">
        <is>
          <t>VCS2</t>
        </is>
      </c>
      <c r="D45" s="3" t="inlineStr">
        <is>
          <t>unlocated</t>
        </is>
      </c>
      <c r="L45" t="inlineStr">
        <is>
          <t>no OSM substation or Nominatim place matched</t>
        </is>
      </c>
    </row>
    <row r="46">
      <c r="A46" t="inlineStr">
        <is>
          <t>DESC_26</t>
        </is>
      </c>
      <c r="B46" t="inlineStr">
        <is>
          <t>VCS2-Ward 230kV: Rebuild Line</t>
        </is>
      </c>
      <c r="C46" t="inlineStr">
        <is>
          <t>Ward</t>
        </is>
      </c>
      <c r="D46" s="2" t="inlineStr">
        <is>
          <t>confirmed</t>
        </is>
      </c>
      <c r="E46" t="n">
        <v>33.87218</v>
      </c>
      <c r="F46" t="n">
        <v>-81.69772279999999</v>
      </c>
      <c r="G46" t="inlineStr">
        <is>
          <t>OSM way/185197506 'Ward Substation' [no operator tag]</t>
        </is>
      </c>
      <c r="H46" t="n">
        <v>100</v>
      </c>
      <c r="I46" t="b">
        <v>0</v>
      </c>
      <c r="L46" t="inlineStr">
        <is>
          <t>confirmed: exact name, only such substation in the state; OSM has no operator tag</t>
        </is>
      </c>
    </row>
    <row r="47">
      <c r="A47" t="inlineStr">
        <is>
          <t>DESC_27</t>
        </is>
      </c>
      <c r="B47" t="inlineStr">
        <is>
          <t>Goose Creek Reservoir: Rebuild Transmission Line Crossings</t>
        </is>
      </c>
      <c r="C47" t="inlineStr">
        <is>
          <t>Goose Creek Reservoir</t>
        </is>
      </c>
      <c r="D47" s="3" t="inlineStr">
        <is>
          <t>unlocated</t>
        </is>
      </c>
      <c r="L47" t="inlineStr">
        <is>
          <t>no OSM substation or Nominatim place matched</t>
        </is>
      </c>
    </row>
    <row r="48">
      <c r="A48" t="inlineStr">
        <is>
          <t>DESC_28</t>
        </is>
      </c>
      <c r="B48" t="inlineStr">
        <is>
          <t>Summerville 115kV Loop: Rebuild</t>
        </is>
      </c>
      <c r="C48" t="inlineStr">
        <is>
          <t>Summerville</t>
        </is>
      </c>
      <c r="D48" s="4" t="inlineStr">
        <is>
          <t>low_confidence</t>
        </is>
      </c>
      <c r="E48" t="n">
        <v>33.0186699</v>
      </c>
      <c r="F48" t="n">
        <v>-80.17627040000001</v>
      </c>
      <c r="G48" t="inlineStr">
        <is>
          <t>Nominatim place: Summerville, Dorchester County, South Carolina, United States</t>
        </is>
      </c>
      <c r="H48" t="n">
        <v>100</v>
      </c>
      <c r="L48" t="inlineStr">
        <is>
          <t>no substation in OSM; using the centroid of the town it is named after | low confidence: town centroid, not the substation itself</t>
        </is>
      </c>
    </row>
    <row r="49">
      <c r="A49" t="inlineStr">
        <is>
          <t>DESC_29</t>
        </is>
      </c>
      <c r="B49" t="inlineStr">
        <is>
          <t>St George - Sumter 230kV Tie: Rebuild Line from Santee Substation - Duke/Progress Energy Tie</t>
        </is>
      </c>
      <c r="C49" t="inlineStr">
        <is>
          <t>St George</t>
        </is>
      </c>
      <c r="D49" s="4" t="inlineStr">
        <is>
          <t>low_confidence</t>
        </is>
      </c>
      <c r="E49" t="n">
        <v>33.1859958</v>
      </c>
      <c r="F49" t="n">
        <v>-80.57565339999999</v>
      </c>
      <c r="G49" t="inlineStr">
        <is>
          <t>Nominatim place: St. George, Dorchester County, South Carolina, 29477, United States</t>
        </is>
      </c>
      <c r="H49" t="n">
        <v>100</v>
      </c>
      <c r="L49" t="inlineStr">
        <is>
          <t>no substation in OSM; using the centroid of the town it is named after | low confidence: town centroid, not the substation itself</t>
        </is>
      </c>
    </row>
    <row r="50">
      <c r="A50" t="inlineStr">
        <is>
          <t>DESC_29</t>
        </is>
      </c>
      <c r="B50" t="inlineStr">
        <is>
          <t>St George - Sumter 230kV Tie: Rebuild Line from Santee Substation - Duke/Progress Energy Tie</t>
        </is>
      </c>
      <c r="C50" t="inlineStr">
        <is>
          <t>Sumter</t>
        </is>
      </c>
      <c r="D50" s="2" t="inlineStr">
        <is>
          <t>confirmed</t>
        </is>
      </c>
      <c r="E50" t="n">
        <v>33.8976611</v>
      </c>
      <c r="F50" t="n">
        <v>-80.3239761</v>
      </c>
      <c r="G50" t="inlineStr">
        <is>
          <t>OSM way/185032893 'Sumter Substation' [no operator tag]</t>
        </is>
      </c>
      <c r="H50" t="n">
        <v>100</v>
      </c>
      <c r="I50" t="b">
        <v>0</v>
      </c>
      <c r="L50" t="inlineStr">
        <is>
          <t>confirmed: exact name, only such substation in the state; OSM has no operator tag</t>
        </is>
      </c>
    </row>
    <row r="51">
      <c r="A51" t="inlineStr">
        <is>
          <t>DESC_30</t>
        </is>
      </c>
      <c r="B51" t="inlineStr">
        <is>
          <t>Coit – Gills Creek 115kV: Construct</t>
        </is>
      </c>
      <c r="C51" t="inlineStr">
        <is>
          <t>Coit</t>
        </is>
      </c>
      <c r="D51" s="3" t="inlineStr">
        <is>
          <t>unlocated</t>
        </is>
      </c>
      <c r="L51" t="inlineStr">
        <is>
          <t>no OSM substation or Nominatim place matched</t>
        </is>
      </c>
    </row>
    <row r="52">
      <c r="A52" t="inlineStr">
        <is>
          <t>DESC_30</t>
        </is>
      </c>
      <c r="B52" t="inlineStr">
        <is>
          <t>Coit – Gills Creek 115kV: Construct</t>
        </is>
      </c>
      <c r="C52" t="inlineStr">
        <is>
          <t>Gills Creek</t>
        </is>
      </c>
      <c r="D52" s="3" t="inlineStr">
        <is>
          <t>unlocated</t>
        </is>
      </c>
      <c r="L52" t="inlineStr">
        <is>
          <t>no OSM substation or Nominatim place matched</t>
        </is>
      </c>
    </row>
    <row r="53">
      <c r="A53" t="inlineStr">
        <is>
          <t>DESC_31</t>
        </is>
      </c>
      <c r="B53" t="inlineStr">
        <is>
          <t>Hooks - Thurmond 115kV Tie: Rebuild</t>
        </is>
      </c>
      <c r="C53" t="inlineStr">
        <is>
          <t>Hooks</t>
        </is>
      </c>
      <c r="D53" s="3" t="inlineStr">
        <is>
          <t>unlocated</t>
        </is>
      </c>
      <c r="L53" t="inlineStr">
        <is>
          <t>no OSM substation or Nominatim place matched</t>
        </is>
      </c>
    </row>
    <row r="54">
      <c r="A54" t="inlineStr">
        <is>
          <t>DESC_31</t>
        </is>
      </c>
      <c r="B54" t="inlineStr">
        <is>
          <t>Hooks - Thurmond 115kV Tie: Rebuild</t>
        </is>
      </c>
      <c r="C54" t="inlineStr">
        <is>
          <t>Thurmond</t>
        </is>
      </c>
      <c r="D54" s="2" t="inlineStr">
        <is>
          <t>confirmed</t>
        </is>
      </c>
      <c r="E54" t="n">
        <v>33.660127</v>
      </c>
      <c r="F54" t="n">
        <v>-82.195931</v>
      </c>
      <c r="G54" t="inlineStr">
        <is>
          <t>organizer worked example</t>
        </is>
      </c>
      <c r="K54" t="n">
        <v>0</v>
      </c>
      <c r="L54" t="inlineStr">
        <is>
          <t>OSM 'Thurmond Substation' (way/52102019) lands 0.00 km from the organizer point</t>
        </is>
      </c>
    </row>
    <row r="55">
      <c r="A55" t="inlineStr">
        <is>
          <t>DESC_32</t>
        </is>
      </c>
      <c r="B55" t="inlineStr">
        <is>
          <t>Batesburg - Saluda County 115kV: Rebuild</t>
        </is>
      </c>
      <c r="C55" t="inlineStr">
        <is>
          <t>Batesburg</t>
        </is>
      </c>
      <c r="D55" s="2" t="inlineStr">
        <is>
          <t>confirmed</t>
        </is>
      </c>
      <c r="E55" t="n">
        <v>33.9134867</v>
      </c>
      <c r="F55" t="n">
        <v>-81.5644353</v>
      </c>
      <c r="G55" t="inlineStr">
        <is>
          <t>OSM way/178951280 'Batesburg Substation' [no operator tag]</t>
        </is>
      </c>
      <c r="H55" t="n">
        <v>100</v>
      </c>
      <c r="I55" t="b">
        <v>0</v>
      </c>
      <c r="L55" t="inlineStr">
        <is>
          <t>confirmed: exact name, only such substation in the state; OSM has no operator tag</t>
        </is>
      </c>
    </row>
    <row r="56">
      <c r="A56" t="inlineStr">
        <is>
          <t>DESC_32</t>
        </is>
      </c>
      <c r="B56" t="inlineStr">
        <is>
          <t>Batesburg - Saluda County 115kV: Rebuild</t>
        </is>
      </c>
      <c r="C56" t="inlineStr">
        <is>
          <t>Saluda County</t>
        </is>
      </c>
      <c r="D56" s="3" t="inlineStr">
        <is>
          <t>unlocated</t>
        </is>
      </c>
      <c r="L56" t="inlineStr">
        <is>
          <t>no OSM substation or Nominatim place matched</t>
        </is>
      </c>
    </row>
    <row r="57">
      <c r="A57" t="inlineStr">
        <is>
          <t>DESC_33</t>
        </is>
      </c>
      <c r="B57" t="inlineStr">
        <is>
          <t>Scout 230 kV Sub and Fold-in: Construct</t>
        </is>
      </c>
      <c r="C57" t="inlineStr">
        <is>
          <t>Scout</t>
        </is>
      </c>
      <c r="D57" s="3" t="inlineStr">
        <is>
          <t>unlocated</t>
        </is>
      </c>
      <c r="L57" t="inlineStr">
        <is>
          <t>no OSM substation or Nominatim place matched</t>
        </is>
      </c>
    </row>
    <row r="58">
      <c r="A58" t="inlineStr">
        <is>
          <t>DESC_34</t>
        </is>
      </c>
      <c r="B58" t="inlineStr">
        <is>
          <t>Dawson 230kV Sub and Fold-in: Construct and Rebuild</t>
        </is>
      </c>
      <c r="C58" t="inlineStr">
        <is>
          <t>Dawson</t>
        </is>
      </c>
      <c r="D58" s="3" t="inlineStr">
        <is>
          <t>unlocated</t>
        </is>
      </c>
      <c r="L58" t="inlineStr">
        <is>
          <t>no OSM substation or Nominatim place matched</t>
        </is>
      </c>
    </row>
    <row r="59">
      <c r="A59" t="inlineStr">
        <is>
          <t>DESC_35</t>
        </is>
      </c>
      <c r="B59" t="inlineStr">
        <is>
          <t>Urquhart – Toolebeck 115kV line: Rebuild</t>
        </is>
      </c>
      <c r="C59" t="inlineStr">
        <is>
          <t>Urquhart</t>
        </is>
      </c>
      <c r="D59" s="2" t="inlineStr">
        <is>
          <t>confirmed</t>
        </is>
      </c>
      <c r="E59" t="n">
        <v>33.4328703</v>
      </c>
      <c r="F59" t="n">
        <v>-81.9110807</v>
      </c>
      <c r="G59" t="inlineStr">
        <is>
          <t>OSM relation/14317637 'Urquhart Substation' [no operator tag]</t>
        </is>
      </c>
      <c r="H59" t="n">
        <v>100</v>
      </c>
      <c r="I59" t="b">
        <v>0</v>
      </c>
      <c r="L59" t="inlineStr">
        <is>
          <t>confirmed: exact name, only such substation in the state; OSM has no operator tag</t>
        </is>
      </c>
    </row>
    <row r="60">
      <c r="A60" t="inlineStr">
        <is>
          <t>DESC_35</t>
        </is>
      </c>
      <c r="B60" t="inlineStr">
        <is>
          <t>Urquhart – Toolebeck 115kV line: Rebuild</t>
        </is>
      </c>
      <c r="C60" t="inlineStr">
        <is>
          <t>Toolebeck</t>
        </is>
      </c>
      <c r="D60" s="2" t="inlineStr">
        <is>
          <t>confirmed</t>
        </is>
      </c>
      <c r="E60" t="n">
        <v>33.5346321</v>
      </c>
      <c r="F60" t="n">
        <v>-81.6693272</v>
      </c>
      <c r="G60" t="inlineStr">
        <is>
          <t>OSM way/1073259467 'Toolebeck Substation' [no operator tag]</t>
        </is>
      </c>
      <c r="H60" t="n">
        <v>100</v>
      </c>
      <c r="I60" t="b">
        <v>0</v>
      </c>
      <c r="L60" t="inlineStr">
        <is>
          <t>confirmed: exact name, only such substation in the state; OSM has no operator tag</t>
        </is>
      </c>
    </row>
    <row r="61">
      <c r="A61" t="inlineStr">
        <is>
          <t>DESC_36</t>
        </is>
      </c>
      <c r="B61" t="inlineStr">
        <is>
          <t>Williams-Summerville 230kV: Upgrade to SPDC B1272 ACSR</t>
        </is>
      </c>
      <c r="C61" t="inlineStr">
        <is>
          <t>Williams</t>
        </is>
      </c>
      <c r="D61" s="2" t="inlineStr">
        <is>
          <t>confirmed</t>
        </is>
      </c>
      <c r="E61" t="n">
        <v>33.0176985</v>
      </c>
      <c r="F61" t="n">
        <v>-79.9321678</v>
      </c>
      <c r="G61" t="inlineStr">
        <is>
          <t>OSM way/184867924 'Williams Substation' [no operator tag]</t>
        </is>
      </c>
      <c r="H61" t="n">
        <v>100</v>
      </c>
      <c r="I61" t="b">
        <v>0</v>
      </c>
      <c r="L61" t="inlineStr">
        <is>
          <t>confirmed: exact name, only such substation in the state; OSM has no operator tag</t>
        </is>
      </c>
    </row>
    <row r="62">
      <c r="A62" t="inlineStr">
        <is>
          <t>DESC_36</t>
        </is>
      </c>
      <c r="B62" t="inlineStr">
        <is>
          <t>Williams-Summerville 230kV: Upgrade to SPDC B1272 ACSR</t>
        </is>
      </c>
      <c r="C62" t="inlineStr">
        <is>
          <t>Summerville</t>
        </is>
      </c>
      <c r="D62" s="4" t="inlineStr">
        <is>
          <t>low_confidence</t>
        </is>
      </c>
      <c r="E62" t="n">
        <v>33.0186699</v>
      </c>
      <c r="F62" t="n">
        <v>-80.17627040000001</v>
      </c>
      <c r="G62" t="inlineStr">
        <is>
          <t>Nominatim place: Summerville, Dorchester County, South Carolina, United States</t>
        </is>
      </c>
      <c r="H62" t="n">
        <v>100</v>
      </c>
      <c r="L62" t="inlineStr">
        <is>
          <t>no substation in OSM; using the centroid of the town it is named after | low confidence: town centroid, not the substation itself</t>
        </is>
      </c>
    </row>
    <row r="63">
      <c r="A63" t="inlineStr">
        <is>
          <t>DESC_37</t>
        </is>
      </c>
      <c r="B63" t="inlineStr">
        <is>
          <t>Cainhoy 115 kV Tap: Construct</t>
        </is>
      </c>
      <c r="C63" t="inlineStr">
        <is>
          <t>Cainhoy</t>
        </is>
      </c>
      <c r="D63" s="2" t="inlineStr">
        <is>
          <t>confirmed</t>
        </is>
      </c>
      <c r="E63" t="n">
        <v>32.941402</v>
      </c>
      <c r="F63" t="n">
        <v>-79.8422757</v>
      </c>
      <c r="G63" t="inlineStr">
        <is>
          <t>OSM way/229116275 'Cainhoy Substation' [Dominion Energy South Carolina]</t>
        </is>
      </c>
      <c r="H63" t="n">
        <v>100</v>
      </c>
      <c r="I63" t="b">
        <v>1</v>
      </c>
      <c r="L63" t="inlineStr"/>
    </row>
    <row r="64">
      <c r="A64" t="inlineStr">
        <is>
          <t>DESC_38</t>
        </is>
      </c>
      <c r="B64" t="inlineStr">
        <is>
          <t>Jack Primus 115 kV Tap: Construct</t>
        </is>
      </c>
      <c r="C64" t="inlineStr">
        <is>
          <t>Jack Primus</t>
        </is>
      </c>
      <c r="D64" s="2" t="inlineStr">
        <is>
          <t>confirmed</t>
        </is>
      </c>
      <c r="E64" t="n">
        <v>32.9193841</v>
      </c>
      <c r="F64" t="n">
        <v>-79.9044954</v>
      </c>
      <c r="G64" t="inlineStr">
        <is>
          <t>OSM way/1097237376 'Jack Primus Substation' [South Carolina Gas &amp; Electric]</t>
        </is>
      </c>
      <c r="H64" t="n">
        <v>100</v>
      </c>
      <c r="I64" t="b">
        <v>1</v>
      </c>
      <c r="L64" t="inlineStr"/>
    </row>
    <row r="65">
      <c r="A65" t="inlineStr">
        <is>
          <t>DESC_39</t>
        </is>
      </c>
      <c r="B65" t="inlineStr">
        <is>
          <t>Church Creek – Faber Place – Charleston Transmission: Add 230kV Line</t>
        </is>
      </c>
      <c r="C65" t="inlineStr">
        <is>
          <t>Church Creek</t>
        </is>
      </c>
      <c r="D65" s="2" t="inlineStr">
        <is>
          <t>confirmed</t>
        </is>
      </c>
      <c r="E65" t="n">
        <v>32.8303196</v>
      </c>
      <c r="F65" t="n">
        <v>-80.0702792</v>
      </c>
      <c r="G65" t="inlineStr">
        <is>
          <t>OSM way/185330726 'Church Creek Substation' [no operator tag]</t>
        </is>
      </c>
      <c r="H65" t="n">
        <v>100</v>
      </c>
      <c r="I65" t="b">
        <v>0</v>
      </c>
      <c r="L65" t="inlineStr">
        <is>
          <t>confirmed: exact name, only such substation in the state; OSM has no operator tag</t>
        </is>
      </c>
    </row>
    <row r="66">
      <c r="A66" t="inlineStr">
        <is>
          <t>DESC_39</t>
        </is>
      </c>
      <c r="B66" t="inlineStr">
        <is>
          <t>Church Creek – Faber Place – Charleston Transmission: Add 230kV Line</t>
        </is>
      </c>
      <c r="C66" t="inlineStr">
        <is>
          <t>Faber Place</t>
        </is>
      </c>
      <c r="D66" s="2" t="inlineStr">
        <is>
          <t>confirmed</t>
        </is>
      </c>
      <c r="E66" t="n">
        <v>32.8500798</v>
      </c>
      <c r="F66" t="n">
        <v>-80.01462410000001</v>
      </c>
      <c r="G66" t="inlineStr">
        <is>
          <t>OSM way/217507829 'Faber Place Substation' [no operator tag]</t>
        </is>
      </c>
      <c r="H66" t="n">
        <v>100</v>
      </c>
      <c r="I66" t="b">
        <v>0</v>
      </c>
      <c r="L66" t="inlineStr">
        <is>
          <t>confirmed: exact name, only such substation in the state; OSM has no operator tag</t>
        </is>
      </c>
    </row>
    <row r="67">
      <c r="A67" t="inlineStr">
        <is>
          <t>DESC_39</t>
        </is>
      </c>
      <c r="B67" t="inlineStr">
        <is>
          <t>Church Creek – Faber Place – Charleston Transmission: Add 230kV Line</t>
        </is>
      </c>
      <c r="C67" t="inlineStr">
        <is>
          <t>Charleston</t>
        </is>
      </c>
      <c r="D67" s="4" t="inlineStr">
        <is>
          <t>low_confidence</t>
        </is>
      </c>
      <c r="E67" t="n">
        <v>32.7884363</v>
      </c>
      <c r="F67" t="n">
        <v>-79.93993089999999</v>
      </c>
      <c r="G67" t="inlineStr">
        <is>
          <t>Nominatim place: Charleston, Charleston County, South Carolina, United States</t>
        </is>
      </c>
      <c r="H67" t="n">
        <v>100</v>
      </c>
      <c r="L67" t="inlineStr">
        <is>
          <t>no substation in OSM; using the centroid of the town it is named after | low confidence: town centroid, not the substation itself</t>
        </is>
      </c>
    </row>
    <row r="68">
      <c r="A68" t="inlineStr">
        <is>
          <t>DESC_40</t>
        </is>
      </c>
      <c r="B68" t="inlineStr">
        <is>
          <t>Eastover – Sumter 115kV DEP Tie: Rebuild with 1272 ACSR</t>
        </is>
      </c>
      <c r="C68" t="inlineStr">
        <is>
          <t>Eastover</t>
        </is>
      </c>
      <c r="D68" s="4" t="inlineStr">
        <is>
          <t>low_confidence</t>
        </is>
      </c>
      <c r="E68" t="n">
        <v>33.8771147</v>
      </c>
      <c r="F68" t="n">
        <v>-80.6922594</v>
      </c>
      <c r="G68" t="inlineStr">
        <is>
          <t>Nominatim place: Eastover, Richland County, South Carolina, United States</t>
        </is>
      </c>
      <c r="H68" t="n">
        <v>100</v>
      </c>
      <c r="L68" t="inlineStr">
        <is>
          <t>no substation in OSM; using the centroid of the town it is named after | low confidence: town centroid, not the substation itself</t>
        </is>
      </c>
    </row>
    <row r="69">
      <c r="A69" t="inlineStr">
        <is>
          <t>DESC_40</t>
        </is>
      </c>
      <c r="B69" t="inlineStr">
        <is>
          <t>Eastover – Sumter 115kV DEP Tie: Rebuild with 1272 ACSR</t>
        </is>
      </c>
      <c r="C69" t="inlineStr">
        <is>
          <t>Sumter</t>
        </is>
      </c>
      <c r="D69" s="2" t="inlineStr">
        <is>
          <t>confirmed</t>
        </is>
      </c>
      <c r="E69" t="n">
        <v>33.8976611</v>
      </c>
      <c r="F69" t="n">
        <v>-80.3239761</v>
      </c>
      <c r="G69" t="inlineStr">
        <is>
          <t>OSM way/185032893 'Sumter Substation' [no operator tag]</t>
        </is>
      </c>
      <c r="H69" t="n">
        <v>100</v>
      </c>
      <c r="I69" t="b">
        <v>0</v>
      </c>
      <c r="L69" t="inlineStr">
        <is>
          <t>confirmed: exact name, only such substation in the state; OSM has no operator tag</t>
        </is>
      </c>
    </row>
    <row r="70">
      <c r="A70" t="inlineStr">
        <is>
          <t>DESC_41</t>
        </is>
      </c>
      <c r="B70" t="inlineStr">
        <is>
          <t>Cameron Jct – Elloree 46 kV Rebuild</t>
        </is>
      </c>
      <c r="C70" t="inlineStr">
        <is>
          <t>Cameron Jct</t>
        </is>
      </c>
      <c r="D70" s="2" t="inlineStr">
        <is>
          <t>confirmed</t>
        </is>
      </c>
      <c r="E70" t="n">
        <v>33.5636663</v>
      </c>
      <c r="F70" t="n">
        <v>-80.70899590000001</v>
      </c>
      <c r="G70" t="inlineStr">
        <is>
          <t>OSM way/318318141 'Cameron Substation' [no operator tag]</t>
        </is>
      </c>
      <c r="H70" t="n">
        <v>100</v>
      </c>
      <c r="I70" t="b">
        <v>0</v>
      </c>
      <c r="L70" t="inlineStr">
        <is>
          <t>confirmed: exact name, only such substation in the state; OSM has no operator tag</t>
        </is>
      </c>
    </row>
    <row r="71">
      <c r="A71" t="inlineStr">
        <is>
          <t>DESC_41</t>
        </is>
      </c>
      <c r="B71" t="inlineStr">
        <is>
          <t>Cameron Jct – Elloree 46 kV Rebuild</t>
        </is>
      </c>
      <c r="C71" t="inlineStr">
        <is>
          <t>Elloree</t>
        </is>
      </c>
      <c r="D71" s="2" t="inlineStr">
        <is>
          <t>confirmed</t>
        </is>
      </c>
      <c r="E71" t="n">
        <v>33.5323844</v>
      </c>
      <c r="F71" t="n">
        <v>-80.5797245</v>
      </c>
      <c r="G71" t="inlineStr">
        <is>
          <t>OSM way/1075509549 'Elloree Substation' [no operator tag]</t>
        </is>
      </c>
      <c r="H71" t="n">
        <v>100</v>
      </c>
      <c r="I71" t="b">
        <v>0</v>
      </c>
      <c r="L71" t="inlineStr">
        <is>
          <t>confirmed: exact name, only such substation in the state; OSM has no operator tag</t>
        </is>
      </c>
    </row>
    <row r="72">
      <c r="A72" t="inlineStr">
        <is>
          <t>DESC_42</t>
        </is>
      </c>
      <c r="B72" t="inlineStr">
        <is>
          <t>Elloree – Santee City 46 kV: Rebuild</t>
        </is>
      </c>
      <c r="C72" t="inlineStr">
        <is>
          <t>Elloree</t>
        </is>
      </c>
      <c r="D72" s="2" t="inlineStr">
        <is>
          <t>confirmed</t>
        </is>
      </c>
      <c r="E72" t="n">
        <v>33.5323844</v>
      </c>
      <c r="F72" t="n">
        <v>-80.5797245</v>
      </c>
      <c r="G72" t="inlineStr">
        <is>
          <t>OSM way/1075509549 'Elloree Substation' [no operator tag]</t>
        </is>
      </c>
      <c r="H72" t="n">
        <v>100</v>
      </c>
      <c r="I72" t="b">
        <v>0</v>
      </c>
      <c r="L72" t="inlineStr">
        <is>
          <t>confirmed: exact name, only such substation in the state; OSM has no operator tag</t>
        </is>
      </c>
    </row>
    <row r="73">
      <c r="A73" t="inlineStr">
        <is>
          <t>DESC_42</t>
        </is>
      </c>
      <c r="B73" t="inlineStr">
        <is>
          <t>Elloree – Santee City 46 kV: Rebuild</t>
        </is>
      </c>
      <c r="C73" t="inlineStr">
        <is>
          <t>Santee City</t>
        </is>
      </c>
      <c r="D73" s="3" t="inlineStr">
        <is>
          <t>unlocated</t>
        </is>
      </c>
      <c r="L73" t="inlineStr">
        <is>
          <t>no OSM substation or Nominatim place matched</t>
        </is>
      </c>
    </row>
    <row r="74">
      <c r="A74" t="inlineStr">
        <is>
          <t>DESC_43</t>
        </is>
      </c>
      <c r="B74" t="inlineStr">
        <is>
          <t>Urquhart – Aiken PSA 46 kV: Rebuild</t>
        </is>
      </c>
      <c r="C74" t="inlineStr">
        <is>
          <t>Urquhart</t>
        </is>
      </c>
      <c r="D74" s="2" t="inlineStr">
        <is>
          <t>confirmed</t>
        </is>
      </c>
      <c r="E74" t="n">
        <v>33.4328703</v>
      </c>
      <c r="F74" t="n">
        <v>-81.9110807</v>
      </c>
      <c r="G74" t="inlineStr">
        <is>
          <t>OSM relation/14317637 'Urquhart Substation' [no operator tag]</t>
        </is>
      </c>
      <c r="H74" t="n">
        <v>100</v>
      </c>
      <c r="I74" t="b">
        <v>0</v>
      </c>
      <c r="L74" t="inlineStr">
        <is>
          <t>confirmed: exact name, only such substation in the state; OSM has no operator tag</t>
        </is>
      </c>
    </row>
    <row r="75">
      <c r="A75" t="inlineStr">
        <is>
          <t>DESC_43</t>
        </is>
      </c>
      <c r="B75" t="inlineStr">
        <is>
          <t>Urquhart – Aiken PSA 46 kV: Rebuild</t>
        </is>
      </c>
      <c r="C75" t="inlineStr">
        <is>
          <t>Aiken PSA</t>
        </is>
      </c>
      <c r="D75" s="3" t="inlineStr">
        <is>
          <t>unlocated</t>
        </is>
      </c>
      <c r="L75" t="inlineStr">
        <is>
          <t>no OSM substation or Nominatim place matched</t>
        </is>
      </c>
    </row>
    <row r="76">
      <c r="A76" t="inlineStr">
        <is>
          <t>DESC_44</t>
        </is>
      </c>
      <c r="B76" t="inlineStr">
        <is>
          <t>Cameron Jct – Cameron – St Matthews 46 kV Rebuild</t>
        </is>
      </c>
      <c r="C76" t="inlineStr">
        <is>
          <t>Cameron Jct</t>
        </is>
      </c>
      <c r="D76" s="2" t="inlineStr">
        <is>
          <t>confirmed</t>
        </is>
      </c>
      <c r="E76" t="n">
        <v>33.5636663</v>
      </c>
      <c r="F76" t="n">
        <v>-80.70899590000001</v>
      </c>
      <c r="G76" t="inlineStr">
        <is>
          <t>OSM way/318318141 'Cameron Substation' [no operator tag]</t>
        </is>
      </c>
      <c r="H76" t="n">
        <v>100</v>
      </c>
      <c r="I76" t="b">
        <v>0</v>
      </c>
      <c r="L76" t="inlineStr">
        <is>
          <t>confirmed: exact name, only such substation in the state; OSM has no operator tag</t>
        </is>
      </c>
    </row>
    <row r="77">
      <c r="A77" t="inlineStr">
        <is>
          <t>DESC_44</t>
        </is>
      </c>
      <c r="B77" t="inlineStr">
        <is>
          <t>Cameron Jct – Cameron – St Matthews 46 kV Rebuild</t>
        </is>
      </c>
      <c r="C77" t="inlineStr">
        <is>
          <t>Cameron</t>
        </is>
      </c>
      <c r="D77" s="2" t="inlineStr">
        <is>
          <t>confirmed</t>
        </is>
      </c>
      <c r="E77" t="n">
        <v>33.5636663</v>
      </c>
      <c r="F77" t="n">
        <v>-80.70899590000001</v>
      </c>
      <c r="G77" t="inlineStr">
        <is>
          <t>OSM way/318318141 'Cameron Substation' [no operator tag]</t>
        </is>
      </c>
      <c r="H77" t="n">
        <v>100</v>
      </c>
      <c r="I77" t="b">
        <v>0</v>
      </c>
      <c r="L77" t="inlineStr">
        <is>
          <t>confirmed: exact name, only such substation in the state; OSM has no operator tag</t>
        </is>
      </c>
    </row>
    <row r="78">
      <c r="A78" t="inlineStr">
        <is>
          <t>DESC_44</t>
        </is>
      </c>
      <c r="B78" t="inlineStr">
        <is>
          <t>Cameron Jct – Cameron – St Matthews 46 kV Rebuild</t>
        </is>
      </c>
      <c r="C78" t="inlineStr">
        <is>
          <t>St Matthews</t>
        </is>
      </c>
      <c r="D78" s="4" t="inlineStr">
        <is>
          <t>low_confidence</t>
        </is>
      </c>
      <c r="E78" t="n">
        <v>33.664876</v>
      </c>
      <c r="F78" t="n">
        <v>-80.77786810000001</v>
      </c>
      <c r="G78" t="inlineStr">
        <is>
          <t>Nominatim place: St. Matthews, Calhoun County, South Carolina, 29135, United States</t>
        </is>
      </c>
      <c r="H78" t="n">
        <v>100</v>
      </c>
      <c r="L78" t="inlineStr">
        <is>
          <t>no substation in OSM; using the centroid of the town it is named after | low confidence: town centroid, not the substation itself</t>
        </is>
      </c>
    </row>
    <row r="79">
      <c r="A79" t="inlineStr">
        <is>
          <t>GPC_1</t>
        </is>
      </c>
      <c r="B79" t="inlineStr">
        <is>
          <t>SAV: CC - HYUNDAI MOTORS SAVANNAH AKA. PROJECT EA</t>
        </is>
      </c>
      <c r="C79" t="inlineStr">
        <is>
          <t>CC</t>
        </is>
      </c>
      <c r="D79" t="inlineStr">
        <is>
          <t>not_a_place</t>
        </is>
      </c>
      <c r="L79" t="inlineStr">
        <is>
          <t>not a place name (customer-connection / program label) -- skipped</t>
        </is>
      </c>
    </row>
    <row r="80">
      <c r="A80" t="inlineStr">
        <is>
          <t>GPC_1</t>
        </is>
      </c>
      <c r="B80" t="inlineStr">
        <is>
          <t>SAV: CC - HYUNDAI MOTORS SAVANNAH AKA. PROJECT EA</t>
        </is>
      </c>
      <c r="C80" t="inlineStr">
        <is>
          <t>HYUNDAI MOTORS SAVANNAH AKA. PROJECT EA</t>
        </is>
      </c>
      <c r="D80" s="3" t="inlineStr">
        <is>
          <t>unlocated</t>
        </is>
      </c>
      <c r="L80" t="inlineStr">
        <is>
          <t>no OSM substation or Nominatim place matched</t>
        </is>
      </c>
    </row>
    <row r="81">
      <c r="A81" t="inlineStr">
        <is>
          <t>GPC_2</t>
        </is>
      </c>
      <c r="B81" t="inlineStr">
        <is>
          <t>MITCHELL - NORTH TIFTON 230KV RECONDUCTOR</t>
        </is>
      </c>
      <c r="C81" t="inlineStr">
        <is>
          <t>MITCHELL</t>
        </is>
      </c>
      <c r="D81" s="2" t="inlineStr">
        <is>
          <t>confirmed</t>
        </is>
      </c>
      <c r="E81" t="n">
        <v>31.447121</v>
      </c>
      <c r="F81" t="n">
        <v>-84.133843</v>
      </c>
      <c r="G81" t="inlineStr">
        <is>
          <t>organizer worked example</t>
        </is>
      </c>
      <c r="K81" t="n">
        <v>0</v>
      </c>
      <c r="L81" t="inlineStr">
        <is>
          <t>OSM 'Mitchell Substation (230kV)' (way/656743294) lands 0.00 km from the organizer point</t>
        </is>
      </c>
    </row>
    <row r="82">
      <c r="A82" t="inlineStr">
        <is>
          <t>GPC_2</t>
        </is>
      </c>
      <c r="B82" t="inlineStr">
        <is>
          <t>MITCHELL - NORTH TIFTON 230KV RECONDUCTOR</t>
        </is>
      </c>
      <c r="C82" t="inlineStr">
        <is>
          <t>NORTH TIFTON</t>
        </is>
      </c>
      <c r="D82" s="2" t="inlineStr">
        <is>
          <t>confirmed</t>
        </is>
      </c>
      <c r="E82" t="n">
        <v>31.478089</v>
      </c>
      <c r="F82" t="n">
        <v>-83.54913000000001</v>
      </c>
      <c r="G82" t="inlineStr">
        <is>
          <t>organizer worked example</t>
        </is>
      </c>
      <c r="K82" t="n">
        <v>0</v>
      </c>
      <c r="L82" t="inlineStr">
        <is>
          <t>OSM 'North Tifton Substation (500kV)' (way/53154820) lands 0.00 km from the organizer point</t>
        </is>
      </c>
    </row>
    <row r="83">
      <c r="A83" t="inlineStr">
        <is>
          <t>GPC_3</t>
        </is>
      </c>
      <c r="B83" t="inlineStr">
        <is>
          <t>ADAMSVILLE - JACK MCDONOUGH 230KV LINE REBUILD</t>
        </is>
      </c>
      <c r="C83" t="inlineStr">
        <is>
          <t>ADAMSVILLE</t>
        </is>
      </c>
      <c r="D83" s="4" t="inlineStr">
        <is>
          <t>low_confidence</t>
        </is>
      </c>
      <c r="E83" t="n">
        <v>33.7592737</v>
      </c>
      <c r="F83" t="n">
        <v>-84.50520899999999</v>
      </c>
      <c r="G83" t="inlineStr">
        <is>
          <t>Nominatim place: Adamsville, Atlanta, Fulton County, Georgia, 10331, United States</t>
        </is>
      </c>
      <c r="H83" t="n">
        <v>100</v>
      </c>
      <c r="J83" t="n">
        <v>37.8</v>
      </c>
      <c r="L83" t="inlineStr">
        <is>
          <t>no substation in OSM; using the centroid of the town it is named after | low confidence: town centroid, not the substation itself</t>
        </is>
      </c>
    </row>
    <row r="84">
      <c r="A84" t="inlineStr">
        <is>
          <t>GPC_3</t>
        </is>
      </c>
      <c r="B84" t="inlineStr">
        <is>
          <t>ADAMSVILLE - JACK MCDONOUGH 230KV LINE REBUILD</t>
        </is>
      </c>
      <c r="C84" t="inlineStr">
        <is>
          <t>JACK MCDONOUGH</t>
        </is>
      </c>
      <c r="D84" s="3" t="inlineStr">
        <is>
          <t>unlocated</t>
        </is>
      </c>
      <c r="L84" t="inlineStr">
        <is>
          <t>no OSM substation or Nominatim place matched</t>
        </is>
      </c>
    </row>
    <row r="85">
      <c r="A85" t="inlineStr">
        <is>
          <t>GPC_4</t>
        </is>
      </c>
      <c r="B85" t="inlineStr">
        <is>
          <t>ECHECONNEE-WELLSTON 115KV REBUILD</t>
        </is>
      </c>
      <c r="C85" t="inlineStr">
        <is>
          <t>ECHECONNEE</t>
        </is>
      </c>
      <c r="D85" s="4" t="inlineStr">
        <is>
          <t>low_confidence</t>
        </is>
      </c>
      <c r="E85" t="n">
        <v>32.6851436</v>
      </c>
      <c r="F85" t="n">
        <v>-83.700462</v>
      </c>
      <c r="G85" t="inlineStr">
        <is>
          <t>Nominatim place: Echeconnee, Houston County, Georgia, 31216, United States</t>
        </is>
      </c>
      <c r="H85" t="n">
        <v>100</v>
      </c>
      <c r="J85" t="n">
        <v>42</v>
      </c>
      <c r="L85" t="inlineStr">
        <is>
          <t>no substation in OSM; using the centroid of the town it is named after | low confidence: town centroid, not the substation itself</t>
        </is>
      </c>
    </row>
    <row r="86">
      <c r="A86" t="inlineStr">
        <is>
          <t>GPC_4</t>
        </is>
      </c>
      <c r="B86" t="inlineStr">
        <is>
          <t>ECHECONNEE-WELLSTON 115KV REBUILD</t>
        </is>
      </c>
      <c r="C86" t="inlineStr">
        <is>
          <t>WELLSTON</t>
        </is>
      </c>
      <c r="D86" s="3" t="inlineStr">
        <is>
          <t>unlocated</t>
        </is>
      </c>
      <c r="L86" t="inlineStr">
        <is>
          <t>no OSM substation or Nominatim place matched</t>
        </is>
      </c>
    </row>
    <row r="87">
      <c r="A87" t="inlineStr">
        <is>
          <t>GPC_5</t>
        </is>
      </c>
      <c r="B87" t="inlineStr">
        <is>
          <t>GRID - BREMEN - CROOKED CREEK (APC) 115 KV PROJECT</t>
        </is>
      </c>
      <c r="C87" t="inlineStr">
        <is>
          <t>GRID</t>
        </is>
      </c>
      <c r="D87" t="inlineStr">
        <is>
          <t>not_a_place</t>
        </is>
      </c>
      <c r="L87" t="inlineStr">
        <is>
          <t>not a place name (customer-connection / program label) -- skipped</t>
        </is>
      </c>
    </row>
    <row r="88">
      <c r="A88" t="inlineStr">
        <is>
          <t>GPC_5</t>
        </is>
      </c>
      <c r="B88" t="inlineStr">
        <is>
          <t>GRID - BREMEN - CROOKED CREEK (APC) 115 KV PROJECT</t>
        </is>
      </c>
      <c r="C88" t="inlineStr">
        <is>
          <t>BREMEN</t>
        </is>
      </c>
      <c r="D88" s="2" t="inlineStr">
        <is>
          <t>confirmed</t>
        </is>
      </c>
      <c r="E88" t="n">
        <v>33.7091924</v>
      </c>
      <c r="F88" t="n">
        <v>-85.1427159</v>
      </c>
      <c r="G88" t="inlineStr">
        <is>
          <t>OSM way/9307582 'Bremen Primary Substation' [Georgia Power]</t>
        </is>
      </c>
      <c r="H88" t="n">
        <v>100</v>
      </c>
      <c r="I88" t="b">
        <v>1</v>
      </c>
      <c r="J88" t="n">
        <v>17.6</v>
      </c>
      <c r="L88" t="inlineStr"/>
    </row>
    <row r="89">
      <c r="A89" t="inlineStr">
        <is>
          <t>GPC_5</t>
        </is>
      </c>
      <c r="B89" t="inlineStr">
        <is>
          <t>GRID - BREMEN - CROOKED CREEK (APC) 115 KV PROJECT</t>
        </is>
      </c>
      <c r="C89" t="inlineStr">
        <is>
          <t>CROOKED CREEK (APC)</t>
        </is>
      </c>
      <c r="D89" s="5" t="inlineStr">
        <is>
          <t>rejected</t>
        </is>
      </c>
      <c r="G89" t="inlineStr">
        <is>
          <t>Nominatim place: Crooked Creek, Putnam County, Georgia, United States</t>
        </is>
      </c>
      <c r="H89" t="n">
        <v>100</v>
      </c>
      <c r="J89" t="n">
        <v>167.5</v>
      </c>
      <c r="L89" t="inlineStr">
        <is>
          <t>no substation in OSM; using the centroid of the town it is named after | REJECTED Nominatim place: Crooked Creek, Putnam County, Georgia, United States: 167 km from the zone 211 centroid (zone radius 90 km) -- same name, wrong part of the state</t>
        </is>
      </c>
    </row>
    <row r="90">
      <c r="A90" t="inlineStr">
        <is>
          <t>GPC_6</t>
        </is>
      </c>
      <c r="B90" t="inlineStr">
        <is>
          <t>JESUP - LUDOWICI PRIMARY 115KV REBUILD</t>
        </is>
      </c>
      <c r="C90" t="inlineStr">
        <is>
          <t>JESUP</t>
        </is>
      </c>
      <c r="D90" s="2" t="inlineStr">
        <is>
          <t>confirmed</t>
        </is>
      </c>
      <c r="E90" t="n">
        <v>31.603106</v>
      </c>
      <c r="F90" t="n">
        <v>-81.924947</v>
      </c>
      <c r="G90" t="inlineStr">
        <is>
          <t>organizer worked example</t>
        </is>
      </c>
      <c r="K90" t="n">
        <v>0</v>
      </c>
      <c r="L90" t="inlineStr">
        <is>
          <t>OSM 'Jesup Substation' (way/103029795) lands 0.00 km from the organizer point</t>
        </is>
      </c>
    </row>
    <row r="91">
      <c r="A91" t="inlineStr">
        <is>
          <t>GPC_6</t>
        </is>
      </c>
      <c r="B91" t="inlineStr">
        <is>
          <t>JESUP - LUDOWICI PRIMARY 115KV REBUILD</t>
        </is>
      </c>
      <c r="C91" t="inlineStr">
        <is>
          <t>LUDOWICI PRIMARY</t>
        </is>
      </c>
      <c r="D91" s="2" t="inlineStr">
        <is>
          <t>confirmed</t>
        </is>
      </c>
      <c r="E91" t="n">
        <v>31.721597</v>
      </c>
      <c r="F91" t="n">
        <v>-81.743703</v>
      </c>
      <c r="G91" t="inlineStr">
        <is>
          <t>organizer worked example</t>
        </is>
      </c>
      <c r="K91" t="n">
        <v>0</v>
      </c>
      <c r="L91" t="inlineStr">
        <is>
          <t>OSM 'Ludowici Primary Substation' (way/358894868) lands 0.00 km from the organizer point</t>
        </is>
      </c>
    </row>
    <row r="92">
      <c r="A92" t="inlineStr">
        <is>
          <t>GPC_7</t>
        </is>
      </c>
      <c r="B92" t="inlineStr">
        <is>
          <t>NORCROSS 230KV BUS 1-3 SERIES BUS TIE BREAKER INSTALLATION</t>
        </is>
      </c>
      <c r="C92" t="inlineStr">
        <is>
          <t>NORCROSS</t>
        </is>
      </c>
      <c r="D92" s="2" t="inlineStr">
        <is>
          <t>confirmed</t>
        </is>
      </c>
      <c r="E92" t="n">
        <v>33.9325571</v>
      </c>
      <c r="F92" t="n">
        <v>-84.2134303</v>
      </c>
      <c r="G92" t="inlineStr">
        <is>
          <t>OSM way/159758307 'Norcross Substation' [Georgia Power]</t>
        </is>
      </c>
      <c r="H92" t="n">
        <v>100</v>
      </c>
      <c r="I92" t="b">
        <v>1</v>
      </c>
      <c r="J92" t="n">
        <v>0</v>
      </c>
      <c r="L92" t="inlineStr"/>
    </row>
    <row r="93">
      <c r="A93" t="inlineStr">
        <is>
          <t>GPC_8</t>
        </is>
      </c>
      <c r="B93" t="inlineStr">
        <is>
          <t>PINE GROVE PRIMARY 115 KV DUAL STAGE CAPACITOR BANK</t>
        </is>
      </c>
      <c r="C93" t="inlineStr">
        <is>
          <t>PINE GROVE PRIMARY</t>
        </is>
      </c>
      <c r="D93" s="2" t="inlineStr">
        <is>
          <t>confirmed</t>
        </is>
      </c>
      <c r="E93" t="n">
        <v>30.8816485</v>
      </c>
      <c r="F93" t="n">
        <v>-83.2279869</v>
      </c>
      <c r="G93" t="inlineStr">
        <is>
          <t>OSM way/174399121 'Pine Grove Primary Substation' [Georgia Power]</t>
        </is>
      </c>
      <c r="H93" t="n">
        <v>100</v>
      </c>
      <c r="I93" t="b">
        <v>1</v>
      </c>
      <c r="J93" t="n">
        <v>60.2</v>
      </c>
      <c r="L93" t="inlineStr"/>
    </row>
    <row r="94">
      <c r="A94" t="inlineStr">
        <is>
          <t>GPC_9</t>
        </is>
      </c>
      <c r="B94" t="inlineStr">
        <is>
          <t>SAV: DEPTFORD - MAGNOLIA 115KV RECONDUCTOR</t>
        </is>
      </c>
      <c r="C94" t="inlineStr">
        <is>
          <t>DEPTFORD</t>
        </is>
      </c>
      <c r="D94" s="2" t="inlineStr">
        <is>
          <t>confirmed</t>
        </is>
      </c>
      <c r="E94" t="n">
        <v>32.0668279</v>
      </c>
      <c r="F94" t="n">
        <v>-81.0483845</v>
      </c>
      <c r="G94" t="inlineStr">
        <is>
          <t>OSM way/122007500 'Deptford Substation' [Georgia Power]</t>
        </is>
      </c>
      <c r="H94" t="n">
        <v>100</v>
      </c>
      <c r="I94" t="b">
        <v>1</v>
      </c>
      <c r="J94" t="n">
        <v>11.9</v>
      </c>
      <c r="L94" t="inlineStr"/>
    </row>
    <row r="95">
      <c r="A95" t="inlineStr">
        <is>
          <t>GPC_9</t>
        </is>
      </c>
      <c r="B95" t="inlineStr">
        <is>
          <t>SAV: DEPTFORD - MAGNOLIA 115KV RECONDUCTOR</t>
        </is>
      </c>
      <c r="C95" t="inlineStr">
        <is>
          <t>MAGNOLIA</t>
        </is>
      </c>
      <c r="D95" s="2" t="inlineStr">
        <is>
          <t>confirmed</t>
        </is>
      </c>
      <c r="E95" t="n">
        <v>32.0226869</v>
      </c>
      <c r="F95" t="n">
        <v>-81.0861807</v>
      </c>
      <c r="G95" t="inlineStr">
        <is>
          <t>OSM way/121857248 'Magnolia Substation' [Georgia Power]</t>
        </is>
      </c>
      <c r="H95" t="n">
        <v>100</v>
      </c>
      <c r="I95" t="b">
        <v>1</v>
      </c>
      <c r="J95" t="n">
        <v>9.699999999999999</v>
      </c>
      <c r="L95" t="inlineStr"/>
    </row>
    <row r="96">
      <c r="A96" t="inlineStr">
        <is>
          <t>GPC_10</t>
        </is>
      </c>
      <c r="B96" t="inlineStr">
        <is>
          <t>SMART VALVE INSTALLATION</t>
        </is>
      </c>
      <c r="C96" t="inlineStr">
        <is>
          <t>SMART VALVE INSTALLATION</t>
        </is>
      </c>
      <c r="D96" t="inlineStr">
        <is>
          <t>not_a_place</t>
        </is>
      </c>
      <c r="L96" t="inlineStr">
        <is>
          <t>not a place name (customer-connection / program label) -- skipped</t>
        </is>
      </c>
    </row>
    <row r="97">
      <c r="A97" t="inlineStr">
        <is>
          <t>GPC_11</t>
        </is>
      </c>
      <c r="B97" t="inlineStr">
        <is>
          <t>THALMANN AND COLERAIN 23O KV LINE RELAY PANEL UPGRADES</t>
        </is>
      </c>
      <c r="C97" t="inlineStr">
        <is>
          <t>THALMANN AND COLERAIN 23O KV LINE RELAY PANEL UPGRADES</t>
        </is>
      </c>
      <c r="D97" s="3" t="inlineStr">
        <is>
          <t>unlocated</t>
        </is>
      </c>
      <c r="L97" t="inlineStr">
        <is>
          <t>no OSM substation or Nominatim place matched</t>
        </is>
      </c>
    </row>
    <row r="98">
      <c r="A98" t="inlineStr">
        <is>
          <t>GPC_12</t>
        </is>
      </c>
      <c r="B98" t="inlineStr">
        <is>
          <t>VILLA RICA LOW SIDE BREAKER</t>
        </is>
      </c>
      <c r="C98" t="inlineStr">
        <is>
          <t>VILLA RICA LOW SIDE BREAKER</t>
        </is>
      </c>
      <c r="D98" s="2" t="inlineStr">
        <is>
          <t>confirmed</t>
        </is>
      </c>
      <c r="E98" t="n">
        <v>33.7410224</v>
      </c>
      <c r="F98" t="n">
        <v>-84.85486520000001</v>
      </c>
      <c r="G98" t="inlineStr">
        <is>
          <t>OSM way/159758304 'Villa Rica Substation' [no operator tag]</t>
        </is>
      </c>
      <c r="H98" t="n">
        <v>100</v>
      </c>
      <c r="I98" t="b">
        <v>0</v>
      </c>
      <c r="J98" t="n">
        <v>23.3</v>
      </c>
      <c r="L98" t="inlineStr">
        <is>
          <t>confirmed: exact name, only such substation in the state; OSM has no operator tag</t>
        </is>
      </c>
    </row>
    <row r="99">
      <c r="A99" t="inlineStr">
        <is>
          <t>GPC_13</t>
        </is>
      </c>
      <c r="B99" t="inlineStr">
        <is>
          <t>CAMDEN INDUSTRIAL PARK (GPC)</t>
        </is>
      </c>
      <c r="C99" t="inlineStr">
        <is>
          <t>CAMDEN INDUSTRIAL PARK (GPC)</t>
        </is>
      </c>
      <c r="D99" s="3" t="inlineStr">
        <is>
          <t>unlocated</t>
        </is>
      </c>
      <c r="L99" t="inlineStr">
        <is>
          <t>no OSM substation or Nominatim place matched</t>
        </is>
      </c>
    </row>
    <row r="100">
      <c r="A100" t="inlineStr">
        <is>
          <t>GPC_14</t>
        </is>
      </c>
      <c r="B100" t="inlineStr">
        <is>
          <t>JEFFERSON STREET#3 - NORTHWEST (WHITE) 115 KV RECONDUCTOR</t>
        </is>
      </c>
      <c r="C100" t="inlineStr">
        <is>
          <t>JEFFERSON STREET#3</t>
        </is>
      </c>
      <c r="D100" s="3" t="inlineStr">
        <is>
          <t>unlocated</t>
        </is>
      </c>
      <c r="L100" t="inlineStr">
        <is>
          <t>no OSM substation or Nominatim place matched</t>
        </is>
      </c>
    </row>
    <row r="101">
      <c r="A101" t="inlineStr">
        <is>
          <t>GPC_14</t>
        </is>
      </c>
      <c r="B101" t="inlineStr">
        <is>
          <t>JEFFERSON STREET#3 - NORTHWEST (WHITE) 115 KV RECONDUCTOR</t>
        </is>
      </c>
      <c r="C101" t="inlineStr">
        <is>
          <t>NORTHWEST (WHITE)</t>
        </is>
      </c>
      <c r="D101" s="3" t="inlineStr">
        <is>
          <t>unlocated</t>
        </is>
      </c>
      <c r="L101" t="inlineStr">
        <is>
          <t>no OSM substation or Nominatim place matched</t>
        </is>
      </c>
    </row>
    <row r="102">
      <c r="A102" t="inlineStr">
        <is>
          <t>GPC_15</t>
        </is>
      </c>
      <c r="B102" t="inlineStr">
        <is>
          <t>ANTHONY SHOALS STATCOM SYSTEM</t>
        </is>
      </c>
      <c r="C102" t="inlineStr">
        <is>
          <t>ANTHONY SHOALS STATCOM SYSTEM</t>
        </is>
      </c>
      <c r="D102" s="2" t="inlineStr">
        <is>
          <t>confirmed</t>
        </is>
      </c>
      <c r="E102" t="n">
        <v>34.0018324</v>
      </c>
      <c r="F102" t="n">
        <v>-82.6362788</v>
      </c>
      <c r="G102" t="inlineStr">
        <is>
          <t>OSM way/171540506 'Anthony Shoals Substation' [Georgia Power]</t>
        </is>
      </c>
      <c r="H102" t="n">
        <v>100</v>
      </c>
      <c r="I102" t="b">
        <v>1</v>
      </c>
      <c r="J102" t="n">
        <v>102.3</v>
      </c>
      <c r="L102" t="inlineStr"/>
    </row>
    <row r="103">
      <c r="A103" t="inlineStr">
        <is>
          <t>GPC_16</t>
        </is>
      </c>
      <c r="B103" t="inlineStr">
        <is>
          <t>CC - CASS PINE- HILL VIEW 230 KV LINE- CC IMPROVEMENTS</t>
        </is>
      </c>
      <c r="C103" t="inlineStr">
        <is>
          <t>CC</t>
        </is>
      </c>
      <c r="D103" t="inlineStr">
        <is>
          <t>not_a_place</t>
        </is>
      </c>
      <c r="L103" t="inlineStr">
        <is>
          <t>not a place name (customer-connection / program label) -- skipped</t>
        </is>
      </c>
    </row>
    <row r="104">
      <c r="A104" t="inlineStr">
        <is>
          <t>GPC_16</t>
        </is>
      </c>
      <c r="B104" t="inlineStr">
        <is>
          <t>CC - CASS PINE- HILL VIEW 230 KV LINE- CC IMPROVEMENTS</t>
        </is>
      </c>
      <c r="C104" t="inlineStr">
        <is>
          <t>CASS PINE</t>
        </is>
      </c>
      <c r="D104" s="3" t="inlineStr">
        <is>
          <t>unlocated</t>
        </is>
      </c>
      <c r="L104" t="inlineStr">
        <is>
          <t>no OSM substation or Nominatim place matched</t>
        </is>
      </c>
    </row>
    <row r="105">
      <c r="A105" t="inlineStr">
        <is>
          <t>GPC_16</t>
        </is>
      </c>
      <c r="B105" t="inlineStr">
        <is>
          <t>CC - CASS PINE- HILL VIEW 230 KV LINE- CC IMPROVEMENTS</t>
        </is>
      </c>
      <c r="C105" t="inlineStr">
        <is>
          <t>HILL VIEW</t>
        </is>
      </c>
      <c r="D105" s="3" t="inlineStr">
        <is>
          <t>unlocated</t>
        </is>
      </c>
      <c r="L105" t="inlineStr">
        <is>
          <t>no OSM substation or Nominatim place matched</t>
        </is>
      </c>
    </row>
    <row r="106">
      <c r="A106" t="inlineStr">
        <is>
          <t>GPC_17</t>
        </is>
      </c>
      <c r="B106" t="inlineStr">
        <is>
          <t>CC - PROJECT CHRONOSSK/HYUNDAI</t>
        </is>
      </c>
      <c r="C106" t="inlineStr">
        <is>
          <t>CC</t>
        </is>
      </c>
      <c r="D106" t="inlineStr">
        <is>
          <t>not_a_place</t>
        </is>
      </c>
      <c r="L106" t="inlineStr">
        <is>
          <t>not a place name (customer-connection / program label) -- skipped</t>
        </is>
      </c>
    </row>
    <row r="107">
      <c r="A107" t="inlineStr">
        <is>
          <t>GPC_17</t>
        </is>
      </c>
      <c r="B107" t="inlineStr">
        <is>
          <t>CC - PROJECT CHRONOSSK/HYUNDAI</t>
        </is>
      </c>
      <c r="C107" t="inlineStr">
        <is>
          <t>PROJECT CHRONOSSK/HYUNDAI</t>
        </is>
      </c>
      <c r="D107" t="inlineStr">
        <is>
          <t>not_a_place</t>
        </is>
      </c>
      <c r="L107" t="inlineStr">
        <is>
          <t>not a place name (customer-connection / program label) -- skipped</t>
        </is>
      </c>
    </row>
    <row r="108">
      <c r="A108" t="inlineStr">
        <is>
          <t>GPC_18</t>
        </is>
      </c>
      <c r="B108" t="inlineStr">
        <is>
          <t>SAV: LITTLE OGEECHEE 230- 115KV: RELAY MODERNIZATION</t>
        </is>
      </c>
      <c r="C108" t="inlineStr">
        <is>
          <t>LITTLE OGEECHEE</t>
        </is>
      </c>
      <c r="D108" s="2" t="inlineStr">
        <is>
          <t>confirmed</t>
        </is>
      </c>
      <c r="E108" t="n">
        <v>32.0067859</v>
      </c>
      <c r="F108" t="n">
        <v>-81.2531513</v>
      </c>
      <c r="G108" t="inlineStr">
        <is>
          <t>OSM way/121701191 'Little Ogeechee Substation' [Georgia Power]</t>
        </is>
      </c>
      <c r="H108" t="n">
        <v>100</v>
      </c>
      <c r="I108" t="b">
        <v>1</v>
      </c>
      <c r="J108" t="n">
        <v>9.9</v>
      </c>
      <c r="L108" t="inlineStr"/>
    </row>
    <row r="109">
      <c r="A109" t="inlineStr">
        <is>
          <t>GPC_19</t>
        </is>
      </c>
      <c r="B109" t="inlineStr">
        <is>
          <t>CC - QTS FAYETTEVILLE TRANSMISSION NEEDS</t>
        </is>
      </c>
      <c r="C109" t="inlineStr">
        <is>
          <t>CC</t>
        </is>
      </c>
      <c r="D109" t="inlineStr">
        <is>
          <t>not_a_place</t>
        </is>
      </c>
      <c r="L109" t="inlineStr">
        <is>
          <t>not a place name (customer-connection / program label) -- skipped</t>
        </is>
      </c>
    </row>
    <row r="110">
      <c r="A110" t="inlineStr">
        <is>
          <t>GPC_19</t>
        </is>
      </c>
      <c r="B110" t="inlineStr">
        <is>
          <t>CC - QTS FAYETTEVILLE TRANSMISSION NEEDS</t>
        </is>
      </c>
      <c r="C110" t="inlineStr">
        <is>
          <t>QTS FAYETTEVILLE TRANSMISSION NEEDS</t>
        </is>
      </c>
      <c r="D110" s="3" t="inlineStr">
        <is>
          <t>unlocated</t>
        </is>
      </c>
      <c r="L110" t="inlineStr">
        <is>
          <t>no OSM substation or Nominatim place matched</t>
        </is>
      </c>
    </row>
    <row r="111">
      <c r="A111" t="inlineStr">
        <is>
          <t>GPC_20</t>
        </is>
      </c>
      <c r="B111" t="inlineStr">
        <is>
          <t>ADAMSVILLE - BUZZARD ROOST 230KV REBUILD AND JUMPER UPGRADE</t>
        </is>
      </c>
      <c r="C111" t="inlineStr">
        <is>
          <t>ADAMSVILLE</t>
        </is>
      </c>
      <c r="D111" s="4" t="inlineStr">
        <is>
          <t>low_confidence</t>
        </is>
      </c>
      <c r="E111" t="n">
        <v>33.7592737</v>
      </c>
      <c r="F111" t="n">
        <v>-84.50520899999999</v>
      </c>
      <c r="G111" t="inlineStr">
        <is>
          <t>Nominatim place: Adamsville, Atlanta, Fulton County, Georgia, 10331, United States</t>
        </is>
      </c>
      <c r="H111" t="n">
        <v>100</v>
      </c>
      <c r="J111" t="n">
        <v>17.5</v>
      </c>
      <c r="L111" t="inlineStr">
        <is>
          <t>no substation in OSM; using the centroid of the town it is named after | low confidence: town centroid, not the substation itself</t>
        </is>
      </c>
    </row>
    <row r="112">
      <c r="A112" t="inlineStr">
        <is>
          <t>GPC_20</t>
        </is>
      </c>
      <c r="B112" t="inlineStr">
        <is>
          <t>ADAMSVILLE - BUZZARD ROOST 230KV REBUILD AND JUMPER UPGRADE</t>
        </is>
      </c>
      <c r="C112" t="inlineStr">
        <is>
          <t>BUZZARD ROOST</t>
        </is>
      </c>
      <c r="D112" s="3" t="inlineStr">
        <is>
          <t>unlocated</t>
        </is>
      </c>
      <c r="L112" t="inlineStr">
        <is>
          <t>no OSM substation or Nominatim place matched</t>
        </is>
      </c>
    </row>
    <row r="113">
      <c r="A113" t="inlineStr">
        <is>
          <t>GPC_21</t>
        </is>
      </c>
      <c r="B113" t="inlineStr">
        <is>
          <t>BLANKETS CREEK – WOODSTOCK 115KV LINE REBUILD</t>
        </is>
      </c>
      <c r="C113" t="inlineStr">
        <is>
          <t>BLANKETS CREEK</t>
        </is>
      </c>
      <c r="D113" s="2" t="inlineStr">
        <is>
          <t>confirmed</t>
        </is>
      </c>
      <c r="E113" t="n">
        <v>34.1857567</v>
      </c>
      <c r="F113" t="n">
        <v>-84.5080123</v>
      </c>
      <c r="G113" t="inlineStr">
        <is>
          <t>OSM way/178249108 'Blankets Creek Substation' [Georgia Power]</t>
        </is>
      </c>
      <c r="H113" t="n">
        <v>100</v>
      </c>
      <c r="I113" t="b">
        <v>1</v>
      </c>
      <c r="J113" t="n">
        <v>11.2</v>
      </c>
      <c r="L113" t="inlineStr"/>
    </row>
    <row r="114">
      <c r="A114" t="inlineStr">
        <is>
          <t>GPC_21</t>
        </is>
      </c>
      <c r="B114" t="inlineStr">
        <is>
          <t>BLANKETS CREEK – WOODSTOCK 115KV LINE REBUILD</t>
        </is>
      </c>
      <c r="C114" t="inlineStr">
        <is>
          <t>WOODSTOCK</t>
        </is>
      </c>
      <c r="D114" s="2" t="inlineStr">
        <is>
          <t>confirmed</t>
        </is>
      </c>
      <c r="E114" t="n">
        <v>34.0852701</v>
      </c>
      <c r="F114" t="n">
        <v>-84.51345569999999</v>
      </c>
      <c r="G114" t="inlineStr">
        <is>
          <t>OSM way/177931262 'Woodstock Substation' [Georgia Power]</t>
        </is>
      </c>
      <c r="H114" t="n">
        <v>100</v>
      </c>
      <c r="I114" t="b">
        <v>1</v>
      </c>
      <c r="J114" t="n">
        <v>0.5</v>
      </c>
      <c r="L114" t="inlineStr"/>
    </row>
    <row r="115">
      <c r="A115" t="inlineStr">
        <is>
          <t>GPC_22</t>
        </is>
      </c>
      <c r="B115" t="inlineStr">
        <is>
          <t>CC - GARRETT ROAD SWITCHING STATION - TRAE LANE</t>
        </is>
      </c>
      <c r="C115" t="inlineStr">
        <is>
          <t>CC</t>
        </is>
      </c>
      <c r="D115" t="inlineStr">
        <is>
          <t>not_a_place</t>
        </is>
      </c>
      <c r="L115" t="inlineStr">
        <is>
          <t>not a place name (customer-connection / program label) -- skipped</t>
        </is>
      </c>
    </row>
    <row r="116">
      <c r="A116" t="inlineStr">
        <is>
          <t>GPC_22</t>
        </is>
      </c>
      <c r="B116" t="inlineStr">
        <is>
          <t>CC - GARRETT ROAD SWITCHING STATION - TRAE LANE</t>
        </is>
      </c>
      <c r="C116" t="inlineStr">
        <is>
          <t>GARRETT ROAD SWITCHING STATION</t>
        </is>
      </c>
      <c r="D116" s="3" t="inlineStr">
        <is>
          <t>unlocated</t>
        </is>
      </c>
      <c r="L116" t="inlineStr">
        <is>
          <t>no OSM substation or Nominatim place matched</t>
        </is>
      </c>
    </row>
    <row r="117">
      <c r="A117" t="inlineStr">
        <is>
          <t>GPC_22</t>
        </is>
      </c>
      <c r="B117" t="inlineStr">
        <is>
          <t>CC - GARRETT ROAD SWITCHING STATION - TRAE LANE</t>
        </is>
      </c>
      <c r="C117" t="inlineStr">
        <is>
          <t>TRAE LANE</t>
        </is>
      </c>
      <c r="D117" s="3" t="inlineStr">
        <is>
          <t>unlocated</t>
        </is>
      </c>
      <c r="L117" t="inlineStr">
        <is>
          <t>no OSM substation or Nominatim place matched</t>
        </is>
      </c>
    </row>
    <row r="118">
      <c r="A118" t="inlineStr">
        <is>
          <t>GPC_23</t>
        </is>
      </c>
      <c r="B118" t="inlineStr">
        <is>
          <t>CC - STONEWALL TELL ROAD (TA REALTY)</t>
        </is>
      </c>
      <c r="C118" t="inlineStr">
        <is>
          <t>CC</t>
        </is>
      </c>
      <c r="D118" t="inlineStr">
        <is>
          <t>not_a_place</t>
        </is>
      </c>
      <c r="L118" t="inlineStr">
        <is>
          <t>not a place name (customer-connection / program label) -- skipped</t>
        </is>
      </c>
    </row>
    <row r="119">
      <c r="A119" t="inlineStr">
        <is>
          <t>GPC_23</t>
        </is>
      </c>
      <c r="B119" t="inlineStr">
        <is>
          <t>CC - STONEWALL TELL ROAD (TA REALTY)</t>
        </is>
      </c>
      <c r="C119" t="inlineStr">
        <is>
          <t>STONEWALL TELL ROAD (TA REALTY)</t>
        </is>
      </c>
      <c r="D119" s="3" t="inlineStr">
        <is>
          <t>unlocated</t>
        </is>
      </c>
      <c r="L119" t="inlineStr">
        <is>
          <t>no OSM substation or Nominatim place matched</t>
        </is>
      </c>
    </row>
    <row r="120">
      <c r="A120" t="inlineStr">
        <is>
          <t>GPC_24</t>
        </is>
      </c>
      <c r="B120" t="inlineStr">
        <is>
          <t>EAST POINT RELAY MODERNIZATION</t>
        </is>
      </c>
      <c r="C120" t="inlineStr">
        <is>
          <t>EAST POINT RELAY MODERNIZATION</t>
        </is>
      </c>
      <c r="D120" s="2" t="inlineStr">
        <is>
          <t>confirmed</t>
        </is>
      </c>
      <c r="E120" t="n">
        <v>33.6763499</v>
      </c>
      <c r="F120" t="n">
        <v>-84.4629659</v>
      </c>
      <c r="G120" t="inlineStr">
        <is>
          <t>OSM relation/14128477 'East Point Primary Substation' [Georgia Power]</t>
        </is>
      </c>
      <c r="H120" t="n">
        <v>100</v>
      </c>
      <c r="I120" t="b">
        <v>1</v>
      </c>
      <c r="J120" t="n">
        <v>7.8</v>
      </c>
      <c r="L120" t="inlineStr"/>
    </row>
    <row r="121">
      <c r="A121" t="inlineStr">
        <is>
          <t>GPC_25</t>
        </is>
      </c>
      <c r="B121" t="inlineStr">
        <is>
          <t>FENWICK STREET - SAND BAR FERRY 115KV (RECONDUCTOR/REBUILD)</t>
        </is>
      </c>
      <c r="C121" t="inlineStr">
        <is>
          <t>FENWICK STREET</t>
        </is>
      </c>
      <c r="D121" s="3" t="inlineStr">
        <is>
          <t>unlocated</t>
        </is>
      </c>
      <c r="L121" t="inlineStr">
        <is>
          <t>no OSM substation or Nominatim place matched</t>
        </is>
      </c>
    </row>
    <row r="122">
      <c r="A122" t="inlineStr">
        <is>
          <t>GPC_25</t>
        </is>
      </c>
      <c r="B122" t="inlineStr">
        <is>
          <t>FENWICK STREET - SAND BAR FERRY 115KV (RECONDUCTOR/REBUILD)</t>
        </is>
      </c>
      <c r="C122" t="inlineStr">
        <is>
          <t>SAND BAR FERRY</t>
        </is>
      </c>
      <c r="D122" s="3" t="inlineStr">
        <is>
          <t>unlocated</t>
        </is>
      </c>
      <c r="L122" t="inlineStr">
        <is>
          <t>no OSM substation or Nominatim place matched</t>
        </is>
      </c>
    </row>
    <row r="123">
      <c r="A123" t="inlineStr">
        <is>
          <t>GPC_26</t>
        </is>
      </c>
      <c r="B123" t="inlineStr">
        <is>
          <t>GOAT ROCK 230KV SWITCH, JUMPER, &amp; LINE TRAP REPLACEMENT</t>
        </is>
      </c>
      <c r="C123" t="inlineStr">
        <is>
          <t>GOAT ROCK</t>
        </is>
      </c>
      <c r="D123" s="2" t="inlineStr">
        <is>
          <t>confirmed</t>
        </is>
      </c>
      <c r="E123" t="n">
        <v>32.6082662</v>
      </c>
      <c r="F123" t="n">
        <v>-85.0824629</v>
      </c>
      <c r="G123" t="inlineStr">
        <is>
          <t>OSM way/171967073 'Goat Rock Dam Substation' [no operator tag]</t>
        </is>
      </c>
      <c r="H123" t="n">
        <v>100</v>
      </c>
      <c r="I123" t="b">
        <v>0</v>
      </c>
      <c r="L123" t="inlineStr">
        <is>
          <t>confirmed: exact name, only such substation in the state; OSM has no operator tag</t>
        </is>
      </c>
    </row>
    <row r="124">
      <c r="A124" t="inlineStr">
        <is>
          <t>GPC_27</t>
        </is>
      </c>
      <c r="B124" t="inlineStr">
        <is>
          <t>GORDON-N DUBLIN 115KV (GORDON-ENGL MCI J) REBUILD</t>
        </is>
      </c>
      <c r="C124" t="inlineStr">
        <is>
          <t>GORDON</t>
        </is>
      </c>
      <c r="D124" s="2" t="inlineStr">
        <is>
          <t>confirmed</t>
        </is>
      </c>
      <c r="E124" t="n">
        <v>32.8824706</v>
      </c>
      <c r="F124" t="n">
        <v>-83.31691410000001</v>
      </c>
      <c r="G124" t="inlineStr">
        <is>
          <t>OSM way/170991651 'Gordon Substation' [Georgia Power]</t>
        </is>
      </c>
      <c r="H124" t="n">
        <v>100</v>
      </c>
      <c r="I124" t="b">
        <v>1</v>
      </c>
      <c r="J124" t="n">
        <v>0</v>
      </c>
      <c r="L124" t="inlineStr"/>
    </row>
    <row r="125">
      <c r="A125" t="inlineStr">
        <is>
          <t>GPC_27</t>
        </is>
      </c>
      <c r="B125" t="inlineStr">
        <is>
          <t>GORDON-N DUBLIN 115KV (GORDON-ENGL MCI J) REBUILD</t>
        </is>
      </c>
      <c r="C125" t="inlineStr">
        <is>
          <t>N DUBLIN</t>
        </is>
      </c>
      <c r="D125" s="3" t="inlineStr">
        <is>
          <t>unlocated</t>
        </is>
      </c>
      <c r="L125" t="inlineStr">
        <is>
          <t>no OSM substation or Nominatim place matched</t>
        </is>
      </c>
    </row>
    <row r="126">
      <c r="A126" t="inlineStr">
        <is>
          <t>GPC_28</t>
        </is>
      </c>
      <c r="B126" t="inlineStr">
        <is>
          <t>GRADY - MORROW (WHITE) 115KV REBUILD</t>
        </is>
      </c>
      <c r="C126" t="inlineStr">
        <is>
          <t>GRADY</t>
        </is>
      </c>
      <c r="D126" s="4" t="inlineStr">
        <is>
          <t>low_confidence</t>
        </is>
      </c>
      <c r="E126" t="n">
        <v>32.9953281</v>
      </c>
      <c r="F126" t="n">
        <v>-83.5635642</v>
      </c>
      <c r="G126" t="inlineStr">
        <is>
          <t>OSM way/344331787 'Gray Substation' [Georgia Power]</t>
        </is>
      </c>
      <c r="H126" t="n">
        <v>89</v>
      </c>
      <c r="I126" t="b">
        <v>1</v>
      </c>
      <c r="J126" t="n">
        <v>88.40000000000001</v>
      </c>
      <c r="L126" t="inlineStr">
        <is>
          <t>low confidence: fuzzy name match (89)</t>
        </is>
      </c>
    </row>
    <row r="127">
      <c r="A127" t="inlineStr">
        <is>
          <t>GPC_28</t>
        </is>
      </c>
      <c r="B127" t="inlineStr">
        <is>
          <t>GRADY - MORROW (WHITE) 115KV REBUILD</t>
        </is>
      </c>
      <c r="C127" t="inlineStr">
        <is>
          <t>MORROW (WHITE)</t>
        </is>
      </c>
      <c r="D127" s="2" t="inlineStr">
        <is>
          <t>confirmed</t>
        </is>
      </c>
      <c r="E127" t="n">
        <v>33.605931</v>
      </c>
      <c r="F127" t="n">
        <v>-84.3334617</v>
      </c>
      <c r="G127" t="inlineStr">
        <is>
          <t>OSM way/171479107 'Morrow Substation' [Georgia Power]</t>
        </is>
      </c>
      <c r="H127" t="n">
        <v>100</v>
      </c>
      <c r="I127" t="b">
        <v>1</v>
      </c>
      <c r="J127" t="n">
        <v>19.7</v>
      </c>
      <c r="L127" t="inlineStr"/>
    </row>
    <row r="128">
      <c r="A128" t="inlineStr">
        <is>
          <t>GPC_29</t>
        </is>
      </c>
      <c r="B128" t="inlineStr">
        <is>
          <t>GRADY 230/115KV RELAY MODERNIZATION</t>
        </is>
      </c>
      <c r="C128" t="inlineStr">
        <is>
          <t>GRADY RELAY MODERNIZATION</t>
        </is>
      </c>
      <c r="D128" s="4" t="inlineStr">
        <is>
          <t>low_confidence</t>
        </is>
      </c>
      <c r="E128" t="n">
        <v>32.9953281</v>
      </c>
      <c r="F128" t="n">
        <v>-83.5635642</v>
      </c>
      <c r="G128" t="inlineStr">
        <is>
          <t>OSM way/344331787 'Gray Substation' [Georgia Power]</t>
        </is>
      </c>
      <c r="H128" t="n">
        <v>89</v>
      </c>
      <c r="I128" t="b">
        <v>1</v>
      </c>
      <c r="J128" t="n">
        <v>88.40000000000001</v>
      </c>
      <c r="L128" t="inlineStr">
        <is>
          <t>low confidence: fuzzy name match (89)</t>
        </is>
      </c>
    </row>
    <row r="129">
      <c r="A129" t="inlineStr">
        <is>
          <t>GPC_30</t>
        </is>
      </c>
      <c r="B129" t="inlineStr">
        <is>
          <t>GRID - GAINESVILLE #2 EQUIPMENT REPLACEMENT</t>
        </is>
      </c>
      <c r="C129" t="inlineStr">
        <is>
          <t>GRID</t>
        </is>
      </c>
      <c r="D129" t="inlineStr">
        <is>
          <t>not_a_place</t>
        </is>
      </c>
      <c r="L129" t="inlineStr">
        <is>
          <t>not a place name (customer-connection / program label) -- skipped</t>
        </is>
      </c>
    </row>
    <row r="130">
      <c r="A130" t="inlineStr">
        <is>
          <t>GPC_30</t>
        </is>
      </c>
      <c r="B130" t="inlineStr">
        <is>
          <t>GRID - GAINESVILLE #2 EQUIPMENT REPLACEMENT</t>
        </is>
      </c>
      <c r="C130" t="inlineStr">
        <is>
          <t>GAINESVILLE #2 EQUIPMENT REPLACEMENT</t>
        </is>
      </c>
      <c r="D130" s="2" t="inlineStr">
        <is>
          <t>confirmed</t>
        </is>
      </c>
      <c r="E130" t="n">
        <v>34.263022</v>
      </c>
      <c r="F130" t="n">
        <v>-83.8096728</v>
      </c>
      <c r="G130" t="inlineStr">
        <is>
          <t>OSM way/179716524 'Gainesville Substation #2' [Georgia Power]</t>
        </is>
      </c>
      <c r="H130" t="n">
        <v>100</v>
      </c>
      <c r="I130" t="b">
        <v>1</v>
      </c>
      <c r="J130" t="n">
        <v>10.2</v>
      </c>
      <c r="L130" t="inlineStr">
        <is>
          <t>2 OSM substations named like 'GAINESVILLE #2 EQUIPMENT REPLACEMENT' (34.26,-83.81, 34.34,-83.84); picked the one nearest the zone 212</t>
        </is>
      </c>
    </row>
    <row r="131">
      <c r="A131" t="inlineStr">
        <is>
          <t>GPC_31</t>
        </is>
      </c>
      <c r="B131" t="inlineStr">
        <is>
          <t>HAMMOND - WEISS DAM 115KV LINE REBUILD</t>
        </is>
      </c>
      <c r="C131" t="inlineStr">
        <is>
          <t>HAMMOND</t>
        </is>
      </c>
      <c r="D131" s="4" t="inlineStr">
        <is>
          <t>low_confidence</t>
        </is>
      </c>
      <c r="E131" t="n">
        <v>34.2512064</v>
      </c>
      <c r="F131" t="n">
        <v>-85.34558</v>
      </c>
      <c r="G131" t="inlineStr">
        <is>
          <t>OSM way/186429831 'Hammod Substation' [Georgia Power]</t>
        </is>
      </c>
      <c r="H131" t="n">
        <v>92</v>
      </c>
      <c r="I131" t="b">
        <v>1</v>
      </c>
      <c r="J131" t="n">
        <v>79.8</v>
      </c>
      <c r="L131" t="inlineStr">
        <is>
          <t>low confidence: fuzzy name match (92)</t>
        </is>
      </c>
    </row>
    <row r="132">
      <c r="A132" t="inlineStr">
        <is>
          <t>GPC_31</t>
        </is>
      </c>
      <c r="B132" t="inlineStr">
        <is>
          <t>HAMMOND - WEISS DAM 115KV LINE REBUILD</t>
        </is>
      </c>
      <c r="C132" t="inlineStr">
        <is>
          <t>WEISS DAM</t>
        </is>
      </c>
      <c r="D132" s="3" t="inlineStr">
        <is>
          <t>unlocated</t>
        </is>
      </c>
      <c r="L132" t="inlineStr">
        <is>
          <t>no OSM substation or Nominatim place matched</t>
        </is>
      </c>
    </row>
    <row r="133">
      <c r="A133" t="inlineStr">
        <is>
          <t>GPC_32</t>
        </is>
      </c>
      <c r="B133" t="inlineStr">
        <is>
          <t>KATHLEEN AREA IMPROVEMENTS</t>
        </is>
      </c>
      <c r="C133" t="inlineStr">
        <is>
          <t>KATHLEEN AREA IMPROVEMENTS</t>
        </is>
      </c>
      <c r="D133" s="4" t="inlineStr">
        <is>
          <t>low_confidence</t>
        </is>
      </c>
      <c r="E133" t="n">
        <v>32.495294</v>
      </c>
      <c r="F133" t="n">
        <v>-83.6099696</v>
      </c>
      <c r="G133" t="inlineStr">
        <is>
          <t>Nominatim place: Kathleen, Houston County, Georgia, 31047, United States</t>
        </is>
      </c>
      <c r="H133" t="n">
        <v>100</v>
      </c>
      <c r="J133" t="n">
        <v>51</v>
      </c>
      <c r="L133" t="inlineStr">
        <is>
          <t>no substation in OSM; using the centroid of the town it is named after | low confidence: town centroid, not the substation itself</t>
        </is>
      </c>
    </row>
    <row r="134">
      <c r="A134" t="inlineStr">
        <is>
          <t>GPC_33</t>
        </is>
      </c>
      <c r="B134" t="inlineStr">
        <is>
          <t>KLONDIKE RELAY MODERNIZATION</t>
        </is>
      </c>
      <c r="C134" t="inlineStr">
        <is>
          <t>KLONDIKE RELAY MODERNIZATION</t>
        </is>
      </c>
      <c r="D134" s="2" t="inlineStr">
        <is>
          <t>confirmed</t>
        </is>
      </c>
      <c r="E134" t="n">
        <v>33.6369768</v>
      </c>
      <c r="F134" t="n">
        <v>-84.124487</v>
      </c>
      <c r="G134" t="inlineStr">
        <is>
          <t>OSM way/159784541 'Klondike Substation' [Georgia Power]</t>
        </is>
      </c>
      <c r="H134" t="n">
        <v>100</v>
      </c>
      <c r="I134" t="b">
        <v>1</v>
      </c>
      <c r="J134" t="n">
        <v>0</v>
      </c>
      <c r="L134" t="inlineStr"/>
    </row>
    <row r="135">
      <c r="A135" t="inlineStr">
        <is>
          <t>GPC_34</t>
        </is>
      </c>
      <c r="B135" t="inlineStr">
        <is>
          <t>MORROW 115KV RELAY UPGRADE</t>
        </is>
      </c>
      <c r="C135" t="inlineStr">
        <is>
          <t>MORROW</t>
        </is>
      </c>
      <c r="D135" s="2" t="inlineStr">
        <is>
          <t>confirmed</t>
        </is>
      </c>
      <c r="E135" t="n">
        <v>33.605931</v>
      </c>
      <c r="F135" t="n">
        <v>-84.3334617</v>
      </c>
      <c r="G135" t="inlineStr">
        <is>
          <t>OSM way/171479107 'Morrow Substation' [Georgia Power]</t>
        </is>
      </c>
      <c r="H135" t="n">
        <v>100</v>
      </c>
      <c r="I135" t="b">
        <v>1</v>
      </c>
      <c r="J135" t="n">
        <v>12</v>
      </c>
      <c r="L135" t="inlineStr"/>
    </row>
    <row r="136">
      <c r="A136" t="inlineStr">
        <is>
          <t>GPC_35</t>
        </is>
      </c>
      <c r="B136" t="inlineStr">
        <is>
          <t>PALMYRA REACTOR REMOVAL</t>
        </is>
      </c>
      <c r="C136" t="inlineStr">
        <is>
          <t>PALMYRA REACTOR REMOVAL</t>
        </is>
      </c>
      <c r="D136" s="4" t="inlineStr">
        <is>
          <t>low_confidence</t>
        </is>
      </c>
      <c r="E136" t="n">
        <v>31.6376726</v>
      </c>
      <c r="F136" t="n">
        <v>-84.1943534</v>
      </c>
      <c r="G136" t="inlineStr">
        <is>
          <t>Nominatim place: Palmyra, Lee County, Georgia, 31650, United States</t>
        </is>
      </c>
      <c r="H136" t="n">
        <v>100</v>
      </c>
      <c r="J136" t="n">
        <v>89.90000000000001</v>
      </c>
      <c r="L136" t="inlineStr">
        <is>
          <t>no substation in OSM; using the centroid of the town it is named after | low confidence: town centroid, not the substation itself</t>
        </is>
      </c>
    </row>
    <row r="137">
      <c r="A137" t="inlineStr">
        <is>
          <t>GPC_36</t>
        </is>
      </c>
      <c r="B137" t="inlineStr">
        <is>
          <t>SAV: BOULEVARD - DEPTFORD 115KV RECONDUCTOR</t>
        </is>
      </c>
      <c r="C137" t="inlineStr">
        <is>
          <t>BOULEVARD</t>
        </is>
      </c>
      <c r="D137" s="2" t="inlineStr">
        <is>
          <t>confirmed</t>
        </is>
      </c>
      <c r="E137" t="n">
        <v>32.0412308</v>
      </c>
      <c r="F137" t="n">
        <v>-81.1444637</v>
      </c>
      <c r="G137" t="inlineStr">
        <is>
          <t>OSM way/381797798 'Boulevard Substation' [Georgia Power]</t>
        </is>
      </c>
      <c r="H137" t="n">
        <v>100</v>
      </c>
      <c r="I137" t="b">
        <v>1</v>
      </c>
      <c r="J137" t="n">
        <v>4.1</v>
      </c>
      <c r="L137" t="inlineStr"/>
    </row>
    <row r="138">
      <c r="A138" t="inlineStr">
        <is>
          <t>GPC_36</t>
        </is>
      </c>
      <c r="B138" t="inlineStr">
        <is>
          <t>SAV: BOULEVARD - DEPTFORD 115KV RECONDUCTOR</t>
        </is>
      </c>
      <c r="C138" t="inlineStr">
        <is>
          <t>DEPTFORD</t>
        </is>
      </c>
      <c r="D138" s="2" t="inlineStr">
        <is>
          <t>confirmed</t>
        </is>
      </c>
      <c r="E138" t="n">
        <v>32.0668279</v>
      </c>
      <c r="F138" t="n">
        <v>-81.0483845</v>
      </c>
      <c r="G138" t="inlineStr">
        <is>
          <t>OSM way/122007500 'Deptford Substation' [Georgia Power]</t>
        </is>
      </c>
      <c r="H138" t="n">
        <v>100</v>
      </c>
      <c r="I138" t="b">
        <v>1</v>
      </c>
      <c r="J138" t="n">
        <v>11.9</v>
      </c>
      <c r="L138" t="inlineStr"/>
    </row>
    <row r="139">
      <c r="A139" t="inlineStr">
        <is>
          <t>GPC_37</t>
        </is>
      </c>
      <c r="B139" t="inlineStr">
        <is>
          <t>SAV: CC - BIG OGEECHEE 500/230KV (CC NETWORK IMPROVEMENTS)</t>
        </is>
      </c>
      <c r="C139" t="inlineStr">
        <is>
          <t>CC</t>
        </is>
      </c>
      <c r="D139" t="inlineStr">
        <is>
          <t>not_a_place</t>
        </is>
      </c>
      <c r="L139" t="inlineStr">
        <is>
          <t>not a place name (customer-connection / program label) -- skipped</t>
        </is>
      </c>
    </row>
    <row r="140">
      <c r="A140" t="inlineStr">
        <is>
          <t>GPC_37</t>
        </is>
      </c>
      <c r="B140" t="inlineStr">
        <is>
          <t>SAV: CC - BIG OGEECHEE 500/230KV (CC NETWORK IMPROVEMENTS)</t>
        </is>
      </c>
      <c r="C140" t="inlineStr">
        <is>
          <t>BIG OGEECHEE (CC NETWORK IMPROVEMENTS)</t>
        </is>
      </c>
      <c r="D140" s="3" t="inlineStr">
        <is>
          <t>unlocated</t>
        </is>
      </c>
      <c r="L140" t="inlineStr">
        <is>
          <t>no OSM substation or Nominatim place matched</t>
        </is>
      </c>
    </row>
    <row r="141">
      <c r="A141" t="inlineStr">
        <is>
          <t>GPC_38</t>
        </is>
      </c>
      <c r="B141" t="inlineStr">
        <is>
          <t>SAV: MCINTOSH - PURRYSBURG 230KV REACTORS</t>
        </is>
      </c>
      <c r="C141" t="inlineStr">
        <is>
          <t>MCINTOSH</t>
        </is>
      </c>
      <c r="D141" s="2" t="inlineStr">
        <is>
          <t>confirmed</t>
        </is>
      </c>
      <c r="E141" t="n">
        <v>32.352116</v>
      </c>
      <c r="F141" t="n">
        <v>-81.175112</v>
      </c>
      <c r="G141" t="inlineStr">
        <is>
          <t>organizer worked example</t>
        </is>
      </c>
      <c r="K141" t="n">
        <v>0</v>
      </c>
      <c r="L141" t="inlineStr">
        <is>
          <t>OSM 'McIntosh Substation' (way/121624352) lands 0.00 km from the organizer point</t>
        </is>
      </c>
    </row>
    <row r="142">
      <c r="A142" t="inlineStr">
        <is>
          <t>GPC_38</t>
        </is>
      </c>
      <c r="B142" t="inlineStr">
        <is>
          <t>SAV: MCINTOSH - PURRYSBURG 230KV REACTORS</t>
        </is>
      </c>
      <c r="C142" t="inlineStr">
        <is>
          <t>PURRYSBURG</t>
        </is>
      </c>
      <c r="D142" s="3" t="inlineStr">
        <is>
          <t>unlocated</t>
        </is>
      </c>
      <c r="L142" t="inlineStr">
        <is>
          <t>no OSM substation or Nominatim place matched</t>
        </is>
      </c>
    </row>
    <row r="143">
      <c r="A143" t="inlineStr">
        <is>
          <t>GPC_39</t>
        </is>
      </c>
      <c r="B143" t="inlineStr">
        <is>
          <t>SCOTTDALE RELAY MODERNIZATION</t>
        </is>
      </c>
      <c r="C143" t="inlineStr">
        <is>
          <t>SCOTTDALE RELAY MODERNIZATION</t>
        </is>
      </c>
      <c r="D143" s="4" t="inlineStr">
        <is>
          <t>low_confidence</t>
        </is>
      </c>
      <c r="E143" t="n">
        <v>33.7898269</v>
      </c>
      <c r="F143" t="n">
        <v>-84.2640889</v>
      </c>
      <c r="G143" t="inlineStr">
        <is>
          <t>Nominatim place: Scottdale, DeKalb County, Georgia, 30079, United States</t>
        </is>
      </c>
      <c r="H143" t="n">
        <v>100</v>
      </c>
      <c r="J143" t="n">
        <v>21.3</v>
      </c>
      <c r="L143" t="inlineStr">
        <is>
          <t>no substation in OSM; using the centroid of the town it is named after | low confidence: town centroid, not the substation itself</t>
        </is>
      </c>
    </row>
    <row r="144">
      <c r="A144" t="inlineStr">
        <is>
          <t>GPC_40</t>
        </is>
      </c>
      <c r="B144" t="inlineStr">
        <is>
          <t>UNION CITY - YATES 230 KV WHITE LINE REBUILD</t>
        </is>
      </c>
      <c r="C144" t="inlineStr">
        <is>
          <t>UNION CITY</t>
        </is>
      </c>
      <c r="D144" s="4" t="inlineStr">
        <is>
          <t>low_confidence</t>
        </is>
      </c>
      <c r="E144" t="n">
        <v>33.5870558</v>
      </c>
      <c r="F144" t="n">
        <v>-84.5424299</v>
      </c>
      <c r="G144" t="inlineStr">
        <is>
          <t>Nominatim place: Union City, Fulton County, Georgia, United States</t>
        </is>
      </c>
      <c r="H144" t="n">
        <v>100</v>
      </c>
      <c r="J144" t="n">
        <v>7.7</v>
      </c>
      <c r="L144" t="inlineStr">
        <is>
          <t>no substation in OSM; using the centroid of the town it is named after | low confidence: town centroid, not the substation itself</t>
        </is>
      </c>
    </row>
    <row r="145">
      <c r="A145" t="inlineStr">
        <is>
          <t>GPC_40</t>
        </is>
      </c>
      <c r="B145" t="inlineStr">
        <is>
          <t>UNION CITY - YATES 230 KV WHITE LINE REBUILD</t>
        </is>
      </c>
      <c r="C145" t="inlineStr">
        <is>
          <t>YATES</t>
        </is>
      </c>
      <c r="D145" s="4" t="inlineStr">
        <is>
          <t>low_confidence</t>
        </is>
      </c>
      <c r="E145" t="n">
        <v>33.463447</v>
      </c>
      <c r="F145" t="n">
        <v>-84.89493849999999</v>
      </c>
      <c r="G145" t="inlineStr">
        <is>
          <t>Nominatim place: Yates, Coweta County, Georgia, 30275, United States</t>
        </is>
      </c>
      <c r="H145" t="n">
        <v>100</v>
      </c>
      <c r="J145" t="n">
        <v>43.1</v>
      </c>
      <c r="L145" t="inlineStr">
        <is>
          <t>no substation in OSM; using the centroid of the town it is named after | low confidence: town centroid, not the substation itself</t>
        </is>
      </c>
    </row>
    <row r="146">
      <c r="A146" t="inlineStr">
        <is>
          <t>GPC_41</t>
        </is>
      </c>
      <c r="B146" t="inlineStr">
        <is>
          <t>UNION CITY - YATES 230KV (WHITE) SWITCH AND TRAP REPLACEMENT</t>
        </is>
      </c>
      <c r="C146" t="inlineStr">
        <is>
          <t>UNION CITY</t>
        </is>
      </c>
      <c r="D146" s="4" t="inlineStr">
        <is>
          <t>low_confidence</t>
        </is>
      </c>
      <c r="E146" t="n">
        <v>33.5870558</v>
      </c>
      <c r="F146" t="n">
        <v>-84.5424299</v>
      </c>
      <c r="G146" t="inlineStr">
        <is>
          <t>Nominatim place: Union City, Fulton County, Georgia, United States</t>
        </is>
      </c>
      <c r="H146" t="n">
        <v>100</v>
      </c>
      <c r="J146" t="n">
        <v>7.7</v>
      </c>
      <c r="L146" t="inlineStr">
        <is>
          <t>no substation in OSM; using the centroid of the town it is named after | low confidence: town centroid, not the substation itself</t>
        </is>
      </c>
    </row>
    <row r="147">
      <c r="A147" t="inlineStr">
        <is>
          <t>GPC_41</t>
        </is>
      </c>
      <c r="B147" t="inlineStr">
        <is>
          <t>UNION CITY - YATES 230KV (WHITE) SWITCH AND TRAP REPLACEMENT</t>
        </is>
      </c>
      <c r="C147" t="inlineStr">
        <is>
          <t>YATES</t>
        </is>
      </c>
      <c r="D147" s="4" t="inlineStr">
        <is>
          <t>low_confidence</t>
        </is>
      </c>
      <c r="E147" t="n">
        <v>33.463447</v>
      </c>
      <c r="F147" t="n">
        <v>-84.89493849999999</v>
      </c>
      <c r="G147" t="inlineStr">
        <is>
          <t>Nominatim place: Yates, Coweta County, Georgia, 30275, United States</t>
        </is>
      </c>
      <c r="H147" t="n">
        <v>100</v>
      </c>
      <c r="J147" t="n">
        <v>43.1</v>
      </c>
      <c r="L147" t="inlineStr">
        <is>
          <t>no substation in OSM; using the centroid of the town it is named after | low confidence: town centroid, not the substation itself</t>
        </is>
      </c>
    </row>
    <row r="148">
      <c r="A148" t="inlineStr">
        <is>
          <t>GPC_42</t>
        </is>
      </c>
      <c r="B148" t="inlineStr">
        <is>
          <t>CC - PROJECT PAYTON BAINBRIDGE</t>
        </is>
      </c>
      <c r="C148" t="inlineStr">
        <is>
          <t>CC</t>
        </is>
      </c>
      <c r="D148" t="inlineStr">
        <is>
          <t>not_a_place</t>
        </is>
      </c>
      <c r="L148" t="inlineStr">
        <is>
          <t>not a place name (customer-connection / program label) -- skipped</t>
        </is>
      </c>
    </row>
    <row r="149">
      <c r="A149" t="inlineStr">
        <is>
          <t>GPC_42</t>
        </is>
      </c>
      <c r="B149" t="inlineStr">
        <is>
          <t>CC - PROJECT PAYTON BAINBRIDGE</t>
        </is>
      </c>
      <c r="C149" t="inlineStr">
        <is>
          <t>PROJECT PAYTON BAINBRIDGE</t>
        </is>
      </c>
      <c r="D149" t="inlineStr">
        <is>
          <t>not_a_place</t>
        </is>
      </c>
      <c r="L149" t="inlineStr">
        <is>
          <t>not a place name (customer-connection / program label) -- skipped</t>
        </is>
      </c>
    </row>
    <row r="150">
      <c r="A150" t="inlineStr">
        <is>
          <t>GPC_43</t>
        </is>
      </c>
      <c r="B150" t="inlineStr">
        <is>
          <t>OHARA BREAKER REPLACEMENT</t>
        </is>
      </c>
      <c r="C150" t="inlineStr">
        <is>
          <t>OHARA BREAKER REPLACEMENT</t>
        </is>
      </c>
      <c r="D150" s="4" t="inlineStr">
        <is>
          <t>low_confidence</t>
        </is>
      </c>
      <c r="E150" t="n">
        <v>33.4819007</v>
      </c>
      <c r="F150" t="n">
        <v>-84.3673898</v>
      </c>
      <c r="G150" t="inlineStr">
        <is>
          <t>OSM way/159784542 'O'Hara Substation' [no operator tag]</t>
        </is>
      </c>
      <c r="H150" t="n">
        <v>91</v>
      </c>
      <c r="I150" t="b">
        <v>0</v>
      </c>
      <c r="J150" t="n">
        <v>16.4</v>
      </c>
      <c r="L150" t="inlineStr">
        <is>
          <t>low confidence: fuzzy name match (91); OSM operator tag missing or not this utility</t>
        </is>
      </c>
    </row>
    <row r="151">
      <c r="A151" t="inlineStr">
        <is>
          <t>GPC_44</t>
        </is>
      </c>
      <c r="B151" t="inlineStr">
        <is>
          <t>DRESDEN LINE PROTECTIVE RELAYING</t>
        </is>
      </c>
      <c r="C151" t="inlineStr">
        <is>
          <t>DRESDEN LINE PROTECTIVE RELAYING</t>
        </is>
      </c>
      <c r="D151" s="3" t="inlineStr">
        <is>
          <t>unlocated</t>
        </is>
      </c>
      <c r="L151" t="inlineStr">
        <is>
          <t>no OSM substation or Nominatim place matched</t>
        </is>
      </c>
    </row>
    <row r="152">
      <c r="A152" t="inlineStr">
        <is>
          <t>GPC_45</t>
        </is>
      </c>
      <c r="B152" t="inlineStr">
        <is>
          <t>CC - CASS PINE 230/25 NEW SUB - QCELLS - CC IMPROVEMENTS</t>
        </is>
      </c>
      <c r="C152" t="inlineStr">
        <is>
          <t>CC</t>
        </is>
      </c>
      <c r="D152" t="inlineStr">
        <is>
          <t>not_a_place</t>
        </is>
      </c>
      <c r="L152" t="inlineStr">
        <is>
          <t>not a place name (customer-connection / program label) -- skipped</t>
        </is>
      </c>
    </row>
    <row r="153">
      <c r="A153" t="inlineStr">
        <is>
          <t>GPC_45</t>
        </is>
      </c>
      <c r="B153" t="inlineStr">
        <is>
          <t>CC - CASS PINE 230/25 NEW SUB - QCELLS - CC IMPROVEMENTS</t>
        </is>
      </c>
      <c r="C153" t="inlineStr">
        <is>
          <t>CASS PINE 230/25 NEW</t>
        </is>
      </c>
      <c r="D153" s="3" t="inlineStr">
        <is>
          <t>unlocated</t>
        </is>
      </c>
      <c r="L153" t="inlineStr">
        <is>
          <t>no OSM substation or Nominatim place matched</t>
        </is>
      </c>
    </row>
    <row r="154">
      <c r="A154" t="inlineStr">
        <is>
          <t>GPC_45</t>
        </is>
      </c>
      <c r="B154" t="inlineStr">
        <is>
          <t>CC - CASS PINE 230/25 NEW SUB - QCELLS - CC IMPROVEMENTS</t>
        </is>
      </c>
      <c r="C154" t="inlineStr">
        <is>
          <t>QCELLS</t>
        </is>
      </c>
      <c r="D154" s="3" t="inlineStr">
        <is>
          <t>unlocated</t>
        </is>
      </c>
      <c r="L154" t="inlineStr">
        <is>
          <t>no OSM substation or Nominatim place matched</t>
        </is>
      </c>
    </row>
    <row r="155">
      <c r="A155" t="inlineStr">
        <is>
          <t>GPC_45</t>
        </is>
      </c>
      <c r="B155" t="inlineStr">
        <is>
          <t>CC - CASS PINE 230/25 NEW SUB - QCELLS - CC IMPROVEMENTS</t>
        </is>
      </c>
      <c r="C155" t="inlineStr">
        <is>
          <t>CC IMPROVEMENTS</t>
        </is>
      </c>
      <c r="D155" t="inlineStr">
        <is>
          <t>not_a_place</t>
        </is>
      </c>
      <c r="L155" t="inlineStr">
        <is>
          <t>not a place name (customer-connection / program label) -- skipped</t>
        </is>
      </c>
    </row>
    <row r="156">
      <c r="A156" t="inlineStr">
        <is>
          <t>GPC_46</t>
        </is>
      </c>
      <c r="B156" t="inlineStr">
        <is>
          <t>GRADY-WEST END 115KV REBUILD</t>
        </is>
      </c>
      <c r="C156" t="inlineStr">
        <is>
          <t>GRADY</t>
        </is>
      </c>
      <c r="D156" s="4" t="inlineStr">
        <is>
          <t>low_confidence</t>
        </is>
      </c>
      <c r="E156" t="n">
        <v>32.9953281</v>
      </c>
      <c r="F156" t="n">
        <v>-83.5635642</v>
      </c>
      <c r="G156" t="inlineStr">
        <is>
          <t>OSM way/344331787 'Gray Substation' [Georgia Power]</t>
        </is>
      </c>
      <c r="H156" t="n">
        <v>89</v>
      </c>
      <c r="I156" t="b">
        <v>1</v>
      </c>
      <c r="J156" t="n">
        <v>88.40000000000001</v>
      </c>
      <c r="L156" t="inlineStr">
        <is>
          <t>low confidence: fuzzy name match (89)</t>
        </is>
      </c>
    </row>
    <row r="157">
      <c r="A157" t="inlineStr">
        <is>
          <t>GPC_46</t>
        </is>
      </c>
      <c r="B157" t="inlineStr">
        <is>
          <t>GRADY-WEST END 115KV REBUILD</t>
        </is>
      </c>
      <c r="C157" t="inlineStr">
        <is>
          <t>WEST END</t>
        </is>
      </c>
      <c r="D157" s="4" t="inlineStr">
        <is>
          <t>low_confidence</t>
        </is>
      </c>
      <c r="E157" t="n">
        <v>33.7381626</v>
      </c>
      <c r="F157" t="n">
        <v>-84.4163167</v>
      </c>
      <c r="G157" t="inlineStr">
        <is>
          <t>Nominatim place: West End, Atlanta, Fulton County, Georgia, 30310, United States</t>
        </is>
      </c>
      <c r="H157" t="n">
        <v>100</v>
      </c>
      <c r="J157" t="n">
        <v>29.3</v>
      </c>
      <c r="L157" t="inlineStr">
        <is>
          <t>no substation in OSM; using the centroid of the town it is named after | low confidence: town centroid, not the substation itself</t>
        </is>
      </c>
    </row>
    <row r="158">
      <c r="A158" t="inlineStr">
        <is>
          <t>GPC_47</t>
        </is>
      </c>
      <c r="B158" t="inlineStr">
        <is>
          <t>MORROW - MOUNTAIN VIEW 115 KV REBUILD</t>
        </is>
      </c>
      <c r="C158" t="inlineStr">
        <is>
          <t>MORROW</t>
        </is>
      </c>
      <c r="D158" s="2" t="inlineStr">
        <is>
          <t>confirmed</t>
        </is>
      </c>
      <c r="E158" t="n">
        <v>33.605931</v>
      </c>
      <c r="F158" t="n">
        <v>-84.3334617</v>
      </c>
      <c r="G158" t="inlineStr">
        <is>
          <t>OSM way/171479107 'Morrow Substation' [Georgia Power]</t>
        </is>
      </c>
      <c r="H158" t="n">
        <v>100</v>
      </c>
      <c r="I158" t="b">
        <v>1</v>
      </c>
      <c r="J158" t="n">
        <v>12</v>
      </c>
      <c r="L158" t="inlineStr"/>
    </row>
    <row r="159">
      <c r="A159" t="inlineStr">
        <is>
          <t>GPC_47</t>
        </is>
      </c>
      <c r="B159" t="inlineStr">
        <is>
          <t>MORROW - MOUNTAIN VIEW 115 KV REBUILD</t>
        </is>
      </c>
      <c r="C159" t="inlineStr">
        <is>
          <t>MOUNTAIN VIEW</t>
        </is>
      </c>
      <c r="D159" s="4" t="inlineStr">
        <is>
          <t>low_confidence</t>
        </is>
      </c>
      <c r="E159" t="n">
        <v>33.6417761</v>
      </c>
      <c r="F159" t="n">
        <v>-84.39020379999999</v>
      </c>
      <c r="G159" t="inlineStr">
        <is>
          <t>Nominatim place: Mountain View, Coxs Crossing, Clayton County, Georgia, 30321, United States</t>
        </is>
      </c>
      <c r="H159" t="n">
        <v>100</v>
      </c>
      <c r="J159" t="n">
        <v>7.8</v>
      </c>
      <c r="L159" t="inlineStr">
        <is>
          <t>no substation in OSM; using the centroid of the town it is named after | low confidence: town centroid, not the substation itself</t>
        </is>
      </c>
    </row>
    <row r="160">
      <c r="A160" t="inlineStr">
        <is>
          <t>GPC_48</t>
        </is>
      </c>
      <c r="B160" t="inlineStr">
        <is>
          <t>CC - EMBLEM RIVERSIDE CUSTOMER SUB (FLEXENTIAL)</t>
        </is>
      </c>
      <c r="C160" t="inlineStr">
        <is>
          <t>CC</t>
        </is>
      </c>
      <c r="D160" t="inlineStr">
        <is>
          <t>not_a_place</t>
        </is>
      </c>
      <c r="L160" t="inlineStr">
        <is>
          <t>not a place name (customer-connection / program label) -- skipped</t>
        </is>
      </c>
    </row>
    <row r="161">
      <c r="A161" t="inlineStr">
        <is>
          <t>GPC_48</t>
        </is>
      </c>
      <c r="B161" t="inlineStr">
        <is>
          <t>CC - EMBLEM RIVERSIDE CUSTOMER SUB (FLEXENTIAL)</t>
        </is>
      </c>
      <c r="C161" t="inlineStr">
        <is>
          <t>EMBLEM RIVERSIDE CUSTOMER SUB (FLEXENTIAL)</t>
        </is>
      </c>
      <c r="D161" s="3" t="inlineStr">
        <is>
          <t>unlocated</t>
        </is>
      </c>
      <c r="L161" t="inlineStr">
        <is>
          <t>no OSM substation or Nominatim place matched</t>
        </is>
      </c>
    </row>
    <row r="162">
      <c r="A162" t="inlineStr">
        <is>
          <t>GPC_49</t>
        </is>
      </c>
      <c r="B162" t="inlineStr">
        <is>
          <t>MORROW - YATES COMMON 115KV LINE UPGRADE</t>
        </is>
      </c>
      <c r="C162" t="inlineStr">
        <is>
          <t>MORROW</t>
        </is>
      </c>
      <c r="D162" s="2" t="inlineStr">
        <is>
          <t>confirmed</t>
        </is>
      </c>
      <c r="E162" t="n">
        <v>33.605931</v>
      </c>
      <c r="F162" t="n">
        <v>-84.3334617</v>
      </c>
      <c r="G162" t="inlineStr">
        <is>
          <t>OSM way/171479107 'Morrow Substation' [Georgia Power]</t>
        </is>
      </c>
      <c r="H162" t="n">
        <v>100</v>
      </c>
      <c r="I162" t="b">
        <v>1</v>
      </c>
      <c r="J162" t="n">
        <v>12</v>
      </c>
      <c r="L162" t="inlineStr"/>
    </row>
    <row r="163">
      <c r="A163" t="inlineStr">
        <is>
          <t>GPC_49</t>
        </is>
      </c>
      <c r="B163" t="inlineStr">
        <is>
          <t>MORROW - YATES COMMON 115KV LINE UPGRADE</t>
        </is>
      </c>
      <c r="C163" t="inlineStr">
        <is>
          <t>YATES COMMON</t>
        </is>
      </c>
      <c r="D163" s="2" t="inlineStr">
        <is>
          <t>confirmed</t>
        </is>
      </c>
      <c r="E163" t="n">
        <v>33.4616412</v>
      </c>
      <c r="F163" t="n">
        <v>-84.90419780000001</v>
      </c>
      <c r="G163" t="inlineStr">
        <is>
          <t>OSM way/652943491 'Yates Common Substation' [Georgia Power]</t>
        </is>
      </c>
      <c r="H163" t="n">
        <v>100</v>
      </c>
      <c r="I163" t="b">
        <v>1</v>
      </c>
      <c r="J163" t="n">
        <v>43.9</v>
      </c>
      <c r="L163" t="inlineStr"/>
    </row>
    <row r="164">
      <c r="A164" t="inlineStr">
        <is>
          <t>GPC_50</t>
        </is>
      </c>
      <c r="B164" t="inlineStr">
        <is>
          <t>POSSUM BRANCH - YATES COMMON 115KV REBUILD (YATES TO CLEM)</t>
        </is>
      </c>
      <c r="C164" t="inlineStr">
        <is>
          <t>POSSUM BRANCH</t>
        </is>
      </c>
      <c r="D164" s="3" t="inlineStr">
        <is>
          <t>unlocated</t>
        </is>
      </c>
      <c r="L164" t="inlineStr">
        <is>
          <t>no OSM substation or Nominatim place matched</t>
        </is>
      </c>
    </row>
    <row r="165">
      <c r="A165" t="inlineStr">
        <is>
          <t>GPC_50</t>
        </is>
      </c>
      <c r="B165" t="inlineStr">
        <is>
          <t>POSSUM BRANCH - YATES COMMON 115KV REBUILD (YATES TO CLEM)</t>
        </is>
      </c>
      <c r="C165" t="inlineStr">
        <is>
          <t>YATES COMMON</t>
        </is>
      </c>
      <c r="D165" s="2" t="inlineStr">
        <is>
          <t>confirmed</t>
        </is>
      </c>
      <c r="E165" t="n">
        <v>33.4616412</v>
      </c>
      <c r="F165" t="n">
        <v>-84.90419780000001</v>
      </c>
      <c r="G165" t="inlineStr">
        <is>
          <t>OSM way/652943491 'Yates Common Substation' [Georgia Power]</t>
        </is>
      </c>
      <c r="H165" t="n">
        <v>100</v>
      </c>
      <c r="I165" t="b">
        <v>1</v>
      </c>
      <c r="J165" t="n">
        <v>17.7</v>
      </c>
      <c r="L165" t="inlineStr"/>
    </row>
    <row r="166">
      <c r="A166" t="inlineStr">
        <is>
          <t>GPC_51</t>
        </is>
      </c>
      <c r="B166" t="inlineStr">
        <is>
          <t>CC - GULLATT ROAD TRANSMISSION IMPROVEMENTS</t>
        </is>
      </c>
      <c r="C166" t="inlineStr">
        <is>
          <t>CC</t>
        </is>
      </c>
      <c r="D166" t="inlineStr">
        <is>
          <t>not_a_place</t>
        </is>
      </c>
      <c r="L166" t="inlineStr">
        <is>
          <t>not a place name (customer-connection / program label) -- skipped</t>
        </is>
      </c>
    </row>
    <row r="167">
      <c r="A167" t="inlineStr">
        <is>
          <t>GPC_51</t>
        </is>
      </c>
      <c r="B167" t="inlineStr">
        <is>
          <t>CC - GULLATT ROAD TRANSMISSION IMPROVEMENTS</t>
        </is>
      </c>
      <c r="C167" t="inlineStr">
        <is>
          <t>GULLATT ROAD TRANSMISSION IMPROVEMENTS</t>
        </is>
      </c>
      <c r="D167" s="3" t="inlineStr">
        <is>
          <t>unlocated</t>
        </is>
      </c>
      <c r="L167" t="inlineStr">
        <is>
          <t>no OSM substation or Nominatim place matched</t>
        </is>
      </c>
    </row>
    <row r="168">
      <c r="A168" t="inlineStr">
        <is>
          <t>GPC_52</t>
        </is>
      </c>
      <c r="B168" t="inlineStr">
        <is>
          <t>CC - MICROSOFT - SHUGART (CCO06)</t>
        </is>
      </c>
      <c r="C168" t="inlineStr">
        <is>
          <t>CC</t>
        </is>
      </c>
      <c r="D168" t="inlineStr">
        <is>
          <t>not_a_place</t>
        </is>
      </c>
      <c r="L168" t="inlineStr">
        <is>
          <t>not a place name (customer-connection / program label) -- skipped</t>
        </is>
      </c>
    </row>
    <row r="169">
      <c r="A169" t="inlineStr">
        <is>
          <t>GPC_52</t>
        </is>
      </c>
      <c r="B169" t="inlineStr">
        <is>
          <t>CC - MICROSOFT - SHUGART (CCO06)</t>
        </is>
      </c>
      <c r="C169" t="inlineStr">
        <is>
          <t>MICROSOFT</t>
        </is>
      </c>
      <c r="D169" s="3" t="inlineStr">
        <is>
          <t>unlocated</t>
        </is>
      </c>
      <c r="L169" t="inlineStr">
        <is>
          <t>no OSM substation or Nominatim place matched</t>
        </is>
      </c>
    </row>
    <row r="170">
      <c r="A170" t="inlineStr">
        <is>
          <t>GPC_52</t>
        </is>
      </c>
      <c r="B170" t="inlineStr">
        <is>
          <t>CC - MICROSOFT - SHUGART (CCO06)</t>
        </is>
      </c>
      <c r="C170" t="inlineStr">
        <is>
          <t>SHUGART (CCO06)</t>
        </is>
      </c>
      <c r="D170" s="3" t="inlineStr">
        <is>
          <t>unlocated</t>
        </is>
      </c>
      <c r="L170" t="inlineStr">
        <is>
          <t>no OSM substation or Nominatim place matched</t>
        </is>
      </c>
    </row>
    <row r="171">
      <c r="A171" t="inlineStr">
        <is>
          <t>GPC_53</t>
        </is>
      </c>
      <c r="B171" t="inlineStr">
        <is>
          <t>CC - SUMMER LAKE - VILLA RICA 230KV REBUILD (CC IMPROVMNT)</t>
        </is>
      </c>
      <c r="C171" t="inlineStr">
        <is>
          <t>CC</t>
        </is>
      </c>
      <c r="D171" t="inlineStr">
        <is>
          <t>not_a_place</t>
        </is>
      </c>
      <c r="L171" t="inlineStr">
        <is>
          <t>not a place name (customer-connection / program label) -- skipped</t>
        </is>
      </c>
    </row>
    <row r="172">
      <c r="A172" t="inlineStr">
        <is>
          <t>GPC_53</t>
        </is>
      </c>
      <c r="B172" t="inlineStr">
        <is>
          <t>CC - SUMMER LAKE - VILLA RICA 230KV REBUILD (CC IMPROVMNT)</t>
        </is>
      </c>
      <c r="C172" t="inlineStr">
        <is>
          <t>SUMMER LAKE</t>
        </is>
      </c>
      <c r="D172" s="3" t="inlineStr">
        <is>
          <t>unlocated</t>
        </is>
      </c>
      <c r="L172" t="inlineStr">
        <is>
          <t>no OSM substation or Nominatim place matched</t>
        </is>
      </c>
    </row>
    <row r="173">
      <c r="A173" t="inlineStr">
        <is>
          <t>GPC_53</t>
        </is>
      </c>
      <c r="B173" t="inlineStr">
        <is>
          <t>CC - SUMMER LAKE - VILLA RICA 230KV REBUILD (CC IMPROVMNT)</t>
        </is>
      </c>
      <c r="C173" t="inlineStr">
        <is>
          <t>VILLA RICA</t>
        </is>
      </c>
      <c r="D173" s="2" t="inlineStr">
        <is>
          <t>confirmed</t>
        </is>
      </c>
      <c r="E173" t="n">
        <v>33.7410224</v>
      </c>
      <c r="F173" t="n">
        <v>-84.85486520000001</v>
      </c>
      <c r="G173" t="inlineStr">
        <is>
          <t>OSM way/159758304 'Villa Rica Substation' [no operator tag]</t>
        </is>
      </c>
      <c r="H173" t="n">
        <v>100</v>
      </c>
      <c r="I173" t="b">
        <v>0</v>
      </c>
      <c r="J173" t="n">
        <v>49.9</v>
      </c>
      <c r="L173" t="inlineStr">
        <is>
          <t>confirmed: exact name, only such substation in the state; OSM has no operator tag</t>
        </is>
      </c>
    </row>
    <row r="174">
      <c r="A174" t="inlineStr">
        <is>
          <t>GPC_54</t>
        </is>
      </c>
      <c r="B174" t="inlineStr">
        <is>
          <t>CC - TA REALTY ELLENWOOD NETWORK IMPROVEMENTS</t>
        </is>
      </c>
      <c r="C174" t="inlineStr">
        <is>
          <t>CC</t>
        </is>
      </c>
      <c r="D174" t="inlineStr">
        <is>
          <t>not_a_place</t>
        </is>
      </c>
      <c r="L174" t="inlineStr">
        <is>
          <t>not a place name (customer-connection / program label) -- skipped</t>
        </is>
      </c>
    </row>
    <row r="175">
      <c r="A175" t="inlineStr">
        <is>
          <t>GPC_54</t>
        </is>
      </c>
      <c r="B175" t="inlineStr">
        <is>
          <t>CC - TA REALTY ELLENWOOD NETWORK IMPROVEMENTS</t>
        </is>
      </c>
      <c r="C175" t="inlineStr">
        <is>
          <t>TA REALTY ELLENWOOD NETWORK IMPROVEMENTS</t>
        </is>
      </c>
      <c r="D175" s="3" t="inlineStr">
        <is>
          <t>unlocated</t>
        </is>
      </c>
      <c r="L175" t="inlineStr">
        <is>
          <t>no OSM substation or Nominatim place matched</t>
        </is>
      </c>
    </row>
    <row r="176">
      <c r="A176" t="inlineStr">
        <is>
          <t>GPC_55</t>
        </is>
      </c>
      <c r="B176" t="inlineStr">
        <is>
          <t>DOYLE - LG&amp;E MONROE 230KV - JACKS CREEK LOOP IN</t>
        </is>
      </c>
      <c r="C176" t="inlineStr">
        <is>
          <t>DOYLE</t>
        </is>
      </c>
      <c r="D176" s="2" t="inlineStr">
        <is>
          <t>confirmed</t>
        </is>
      </c>
      <c r="E176" t="n">
        <v>33.8379245</v>
      </c>
      <c r="F176" t="n">
        <v>-83.698786</v>
      </c>
      <c r="G176" t="inlineStr">
        <is>
          <t>OSM way/176906118 'Doyle Substation' [Georgia Power]</t>
        </is>
      </c>
      <c r="H176" t="n">
        <v>100</v>
      </c>
      <c r="I176" t="b">
        <v>1</v>
      </c>
      <c r="J176" t="n">
        <v>48.4</v>
      </c>
      <c r="L176" t="inlineStr"/>
    </row>
    <row r="177">
      <c r="A177" t="inlineStr">
        <is>
          <t>GPC_55</t>
        </is>
      </c>
      <c r="B177" t="inlineStr">
        <is>
          <t>DOYLE - LG&amp;E MONROE 230KV - JACKS CREEK LOOP IN</t>
        </is>
      </c>
      <c r="C177" t="inlineStr">
        <is>
          <t>LG</t>
        </is>
      </c>
      <c r="D177" t="inlineStr">
        <is>
          <t>not_a_place</t>
        </is>
      </c>
      <c r="L177" t="inlineStr">
        <is>
          <t>not a place name (customer-connection / program label) -- skipped</t>
        </is>
      </c>
    </row>
    <row r="178">
      <c r="A178" t="inlineStr">
        <is>
          <t>GPC_56</t>
        </is>
      </c>
      <c r="B178" t="inlineStr">
        <is>
          <t>JESUP - OFFERMAN 115KV REBUILD</t>
        </is>
      </c>
      <c r="C178" t="inlineStr">
        <is>
          <t>JESUP</t>
        </is>
      </c>
      <c r="D178" s="2" t="inlineStr">
        <is>
          <t>confirmed</t>
        </is>
      </c>
      <c r="E178" t="n">
        <v>31.603106</v>
      </c>
      <c r="F178" t="n">
        <v>-81.924947</v>
      </c>
      <c r="G178" t="inlineStr">
        <is>
          <t>organizer worked example</t>
        </is>
      </c>
      <c r="K178" t="n">
        <v>0</v>
      </c>
      <c r="L178" t="inlineStr">
        <is>
          <t>OSM 'Jesup Substation' (way/103029795) lands 0.00 km from the organizer point</t>
        </is>
      </c>
    </row>
    <row r="179">
      <c r="A179" t="inlineStr">
        <is>
          <t>GPC_56</t>
        </is>
      </c>
      <c r="B179" t="inlineStr">
        <is>
          <t>JESUP - OFFERMAN 115KV REBUILD</t>
        </is>
      </c>
      <c r="C179" t="inlineStr">
        <is>
          <t>OFFERMAN</t>
        </is>
      </c>
      <c r="D179" s="2" t="inlineStr">
        <is>
          <t>confirmed</t>
        </is>
      </c>
      <c r="E179" t="n">
        <v>31.4230725</v>
      </c>
      <c r="F179" t="n">
        <v>-82.1436621</v>
      </c>
      <c r="G179" t="inlineStr">
        <is>
          <t>OSM way/52069715 'Offerman Substation' [Georgia Power]</t>
        </is>
      </c>
      <c r="H179" t="n">
        <v>100</v>
      </c>
      <c r="I179" t="b">
        <v>1</v>
      </c>
      <c r="J179" t="n">
        <v>28.8</v>
      </c>
      <c r="L179" t="inlineStr"/>
    </row>
    <row r="180">
      <c r="A180" t="inlineStr">
        <is>
          <t>GPC_57</t>
        </is>
      </c>
      <c r="B180" t="inlineStr">
        <is>
          <t>LAWRENCEVILLE - WINDER 115KV LINE REBUILD</t>
        </is>
      </c>
      <c r="C180" t="inlineStr">
        <is>
          <t>LAWRENCEVILLE</t>
        </is>
      </c>
      <c r="D180" s="2" t="inlineStr">
        <is>
          <t>confirmed</t>
        </is>
      </c>
      <c r="E180" t="n">
        <v>33.9581487</v>
      </c>
      <c r="F180" t="n">
        <v>-84.01987920000001</v>
      </c>
      <c r="G180" t="inlineStr">
        <is>
          <t>OSM way/985152731 'Lawrenceville Substation #1' [Georgia Power]</t>
        </is>
      </c>
      <c r="H180" t="n">
        <v>100</v>
      </c>
      <c r="I180" t="b">
        <v>1</v>
      </c>
      <c r="J180" t="n">
        <v>18.1</v>
      </c>
      <c r="L180" t="inlineStr">
        <is>
          <t>4 OSM substations named like 'LAWRENCEVILLE' (33.99,-84.00, 33.94,-83.96, 33.94,-83.99, 33.96,-84.02); picked the one nearest the zone 202</t>
        </is>
      </c>
    </row>
    <row r="181">
      <c r="A181" t="inlineStr">
        <is>
          <t>GPC_57</t>
        </is>
      </c>
      <c r="B181" t="inlineStr">
        <is>
          <t>LAWRENCEVILLE - WINDER 115KV LINE REBUILD</t>
        </is>
      </c>
      <c r="C181" t="inlineStr">
        <is>
          <t>WINDER</t>
        </is>
      </c>
      <c r="D181" s="2" t="inlineStr">
        <is>
          <t>confirmed</t>
        </is>
      </c>
      <c r="E181" t="n">
        <v>33.9954594</v>
      </c>
      <c r="F181" t="n">
        <v>-83.7531307</v>
      </c>
      <c r="G181" t="inlineStr">
        <is>
          <t>OSM way/171583070 'Winder Primary Substation' [Georgia Power]</t>
        </is>
      </c>
      <c r="H181" t="n">
        <v>100</v>
      </c>
      <c r="I181" t="b">
        <v>1</v>
      </c>
      <c r="J181" t="n">
        <v>43</v>
      </c>
      <c r="L181" t="inlineStr">
        <is>
          <t>2 OSM substations named like 'WINDER' (34.00,-83.75, 34.02,-83.76); picked the one nearest the zone 202</t>
        </is>
      </c>
    </row>
    <row r="182">
      <c r="A182" t="inlineStr">
        <is>
          <t>GPC_58</t>
        </is>
      </c>
      <c r="B182" t="inlineStr">
        <is>
          <t>LAWRENCEVILLE - WINDER PRIMARY 230KV LINE REBUILD</t>
        </is>
      </c>
      <c r="C182" t="inlineStr">
        <is>
          <t>LAWRENCEVILLE</t>
        </is>
      </c>
      <c r="D182" s="2" t="inlineStr">
        <is>
          <t>confirmed</t>
        </is>
      </c>
      <c r="E182" t="n">
        <v>33.9581487</v>
      </c>
      <c r="F182" t="n">
        <v>-84.01987920000001</v>
      </c>
      <c r="G182" t="inlineStr">
        <is>
          <t>OSM way/985152731 'Lawrenceville Substation #1' [Georgia Power]</t>
        </is>
      </c>
      <c r="H182" t="n">
        <v>100</v>
      </c>
      <c r="I182" t="b">
        <v>1</v>
      </c>
      <c r="J182" t="n">
        <v>18.1</v>
      </c>
      <c r="L182" t="inlineStr">
        <is>
          <t>4 OSM substations named like 'LAWRENCEVILLE' (33.99,-84.00, 33.94,-83.96, 33.94,-83.99, 33.96,-84.02); picked the one nearest the zone 202</t>
        </is>
      </c>
    </row>
    <row r="183">
      <c r="A183" t="inlineStr">
        <is>
          <t>GPC_58</t>
        </is>
      </c>
      <c r="B183" t="inlineStr">
        <is>
          <t>LAWRENCEVILLE - WINDER PRIMARY 230KV LINE REBUILD</t>
        </is>
      </c>
      <c r="C183" t="inlineStr">
        <is>
          <t>WINDER PRIMARY</t>
        </is>
      </c>
      <c r="D183" s="2" t="inlineStr">
        <is>
          <t>confirmed</t>
        </is>
      </c>
      <c r="E183" t="n">
        <v>33.9954594</v>
      </c>
      <c r="F183" t="n">
        <v>-83.7531307</v>
      </c>
      <c r="G183" t="inlineStr">
        <is>
          <t>OSM way/171583070 'Winder Primary Substation' [Georgia Power]</t>
        </is>
      </c>
      <c r="H183" t="n">
        <v>100</v>
      </c>
      <c r="I183" t="b">
        <v>1</v>
      </c>
      <c r="J183" t="n">
        <v>43</v>
      </c>
      <c r="L183" t="inlineStr">
        <is>
          <t>2 OSM substations named like 'WINDER PRIMARY' (34.00,-83.75, 34.02,-83.76); picked the one nearest the zone 202</t>
        </is>
      </c>
    </row>
    <row r="184">
      <c r="A184" t="inlineStr">
        <is>
          <t>GPC_59</t>
        </is>
      </c>
      <c r="B184" t="inlineStr">
        <is>
          <t>SANDERSVILLE #1 - WADLEY PRI. 115KV REBUILD/RECONDUCTOR</t>
        </is>
      </c>
      <c r="C184" t="inlineStr">
        <is>
          <t>SANDERSVILLE #1</t>
        </is>
      </c>
      <c r="D184" s="4" t="inlineStr">
        <is>
          <t>low_confidence</t>
        </is>
      </c>
      <c r="E184" t="n">
        <v>33.0018214</v>
      </c>
      <c r="F184" t="n">
        <v>-82.83272909999999</v>
      </c>
      <c r="G184" t="inlineStr">
        <is>
          <t>OSM way/484518626 'Sandersville Substation #6' [no operator tag]</t>
        </is>
      </c>
      <c r="H184" t="n">
        <v>100</v>
      </c>
      <c r="I184" t="b">
        <v>0</v>
      </c>
      <c r="J184" t="n">
        <v>47.1</v>
      </c>
      <c r="L184" t="inlineStr">
        <is>
          <t>2 OSM substations named like 'SANDERSVILLE #1' (33.00,-82.80, 33.00,-82.83); picked the one nearest the zone 214 | low confidence: OSM operator tag missing or not this utility</t>
        </is>
      </c>
    </row>
    <row r="185">
      <c r="A185" t="inlineStr">
        <is>
          <t>GPC_59</t>
        </is>
      </c>
      <c r="B185" t="inlineStr">
        <is>
          <t>SANDERSVILLE #1 - WADLEY PRI. 115KV REBUILD/RECONDUCTOR</t>
        </is>
      </c>
      <c r="C185" t="inlineStr">
        <is>
          <t>WADLEY PRI.</t>
        </is>
      </c>
      <c r="D185" s="2" t="inlineStr">
        <is>
          <t>confirmed</t>
        </is>
      </c>
      <c r="E185" t="n">
        <v>32.8846571</v>
      </c>
      <c r="F185" t="n">
        <v>-82.4158724</v>
      </c>
      <c r="G185" t="inlineStr">
        <is>
          <t>OSM way/1005940922 'Wadley Substation' [Georgia Power]</t>
        </is>
      </c>
      <c r="H185" t="n">
        <v>100</v>
      </c>
      <c r="I185" t="b">
        <v>1</v>
      </c>
      <c r="J185" t="n">
        <v>84.09999999999999</v>
      </c>
      <c r="L185" t="inlineStr">
        <is>
          <t>2 OSM substations named like 'WADLEY PRI.' (32.81,-82.40, 32.88,-82.42); picked the one nearest the zone 214</t>
        </is>
      </c>
    </row>
    <row r="186">
      <c r="A186" t="inlineStr">
        <is>
          <t>GPC_60</t>
        </is>
      </c>
      <c r="B186" t="inlineStr">
        <is>
          <t>SAV: GOSHEN (SAV) - KRAFT 115KV LINE REBUILD</t>
        </is>
      </c>
      <c r="C186" t="inlineStr">
        <is>
          <t>GOSHEN (SAV)</t>
        </is>
      </c>
      <c r="D186" s="2" t="inlineStr">
        <is>
          <t>confirmed</t>
        </is>
      </c>
      <c r="E186" t="n">
        <v>32.248701</v>
      </c>
      <c r="F186" t="n">
        <v>-81.20947200000001</v>
      </c>
      <c r="G186" t="inlineStr">
        <is>
          <t>organizer worked example</t>
        </is>
      </c>
      <c r="K186" t="n">
        <v>0</v>
      </c>
      <c r="L186" t="inlineStr">
        <is>
          <t>2 OSM substations named like 'GOSHEN (SAV)' (33.32,-82.00, 32.25,-81.21); picked the one nearest the zone 219 | OSM 'Goshen Substation' (way/1008141064) lands 0.00 km from the organizer point</t>
        </is>
      </c>
    </row>
    <row r="187">
      <c r="A187" t="inlineStr">
        <is>
          <t>GPC_60</t>
        </is>
      </c>
      <c r="B187" t="inlineStr">
        <is>
          <t>SAV: GOSHEN (SAV) - KRAFT 115KV LINE REBUILD</t>
        </is>
      </c>
      <c r="C187" t="inlineStr">
        <is>
          <t>KRAFT</t>
        </is>
      </c>
      <c r="D187" s="2" t="inlineStr">
        <is>
          <t>confirmed</t>
        </is>
      </c>
      <c r="E187" t="n">
        <v>32.1481353</v>
      </c>
      <c r="F187" t="n">
        <v>-81.1459835</v>
      </c>
      <c r="G187" t="inlineStr">
        <is>
          <t>OSM way/121986375 'Kraft Substation' [Georgia Power]</t>
        </is>
      </c>
      <c r="H187" t="n">
        <v>100</v>
      </c>
      <c r="I187" t="b">
        <v>1</v>
      </c>
      <c r="J187" t="n">
        <v>9.4</v>
      </c>
      <c r="L187" t="inlineStr"/>
    </row>
    <row r="188">
      <c r="A188" t="inlineStr">
        <is>
          <t>GPC_61</t>
        </is>
      </c>
      <c r="B188" t="inlineStr">
        <is>
          <t>SAV: GOSHEN (SAV) - MCINTOSH 115KV LINE REBUILD</t>
        </is>
      </c>
      <c r="C188" t="inlineStr">
        <is>
          <t>GOSHEN (SAV)</t>
        </is>
      </c>
      <c r="D188" s="2" t="inlineStr">
        <is>
          <t>confirmed</t>
        </is>
      </c>
      <c r="E188" t="n">
        <v>32.248701</v>
      </c>
      <c r="F188" t="n">
        <v>-81.20947200000001</v>
      </c>
      <c r="G188" t="inlineStr">
        <is>
          <t>organizer worked example</t>
        </is>
      </c>
      <c r="K188" t="n">
        <v>0</v>
      </c>
      <c r="L188" t="inlineStr">
        <is>
          <t>2 OSM substations named like 'GOSHEN (SAV)' (33.32,-82.00, 32.25,-81.21); picked the one nearest the zone 219 | OSM 'Goshen Substation' (way/1008141064) lands 0.00 km from the organizer point</t>
        </is>
      </c>
    </row>
    <row r="189">
      <c r="A189" t="inlineStr">
        <is>
          <t>GPC_61</t>
        </is>
      </c>
      <c r="B189" t="inlineStr">
        <is>
          <t>SAV: GOSHEN (SAV) - MCINTOSH 115KV LINE REBUILD</t>
        </is>
      </c>
      <c r="C189" t="inlineStr">
        <is>
          <t>MCINTOSH</t>
        </is>
      </c>
      <c r="D189" s="2" t="inlineStr">
        <is>
          <t>confirmed</t>
        </is>
      </c>
      <c r="E189" t="n">
        <v>32.352116</v>
      </c>
      <c r="F189" t="n">
        <v>-81.175112</v>
      </c>
      <c r="G189" t="inlineStr">
        <is>
          <t>organizer worked example</t>
        </is>
      </c>
      <c r="K189" t="n">
        <v>0</v>
      </c>
      <c r="L189" t="inlineStr">
        <is>
          <t>OSM 'McIntosh Substation' (way/121624352) lands 0.00 km from the organizer point</t>
        </is>
      </c>
    </row>
    <row r="190">
      <c r="A190" t="inlineStr">
        <is>
          <t>GPC_62</t>
        </is>
      </c>
      <c r="B190" t="inlineStr">
        <is>
          <t>CC - TOMOCHICHI 500/230KV SOLUTION (CC NETWORK IMPROVEMENTS)</t>
        </is>
      </c>
      <c r="C190" t="inlineStr">
        <is>
          <t>CC</t>
        </is>
      </c>
      <c r="D190" t="inlineStr">
        <is>
          <t>not_a_place</t>
        </is>
      </c>
      <c r="L190" t="inlineStr">
        <is>
          <t>not a place name (customer-connection / program label) -- skipped</t>
        </is>
      </c>
    </row>
    <row r="191">
      <c r="A191" t="inlineStr">
        <is>
          <t>GPC_62</t>
        </is>
      </c>
      <c r="B191" t="inlineStr">
        <is>
          <t>CC - TOMOCHICHI 500/230KV SOLUTION (CC NETWORK IMPROVEMENTS)</t>
        </is>
      </c>
      <c r="C191" t="inlineStr">
        <is>
          <t>TOMOCHICHI SOLUTION (CC NETWORK IMPROVEMENTS)</t>
        </is>
      </c>
      <c r="D191" s="3" t="inlineStr">
        <is>
          <t>unlocated</t>
        </is>
      </c>
      <c r="L191" t="inlineStr">
        <is>
          <t>no OSM substation or Nominatim place matched</t>
        </is>
      </c>
    </row>
    <row r="192">
      <c r="A192" t="inlineStr">
        <is>
          <t>GPC_63</t>
        </is>
      </c>
      <c r="B192" t="inlineStr">
        <is>
          <t>GRID - ARKWRIGHT - LLOYD SHOALS 115KV</t>
        </is>
      </c>
      <c r="C192" t="inlineStr">
        <is>
          <t>GRID</t>
        </is>
      </c>
      <c r="D192" t="inlineStr">
        <is>
          <t>not_a_place</t>
        </is>
      </c>
      <c r="L192" t="inlineStr">
        <is>
          <t>not a place name (customer-connection / program label) -- skipped</t>
        </is>
      </c>
    </row>
    <row r="193">
      <c r="A193" t="inlineStr">
        <is>
          <t>GPC_63</t>
        </is>
      </c>
      <c r="B193" t="inlineStr">
        <is>
          <t>GRID - ARKWRIGHT - LLOYD SHOALS 115KV</t>
        </is>
      </c>
      <c r="C193" t="inlineStr">
        <is>
          <t>ARKWRIGHT</t>
        </is>
      </c>
      <c r="D193" s="4" t="inlineStr">
        <is>
          <t>low_confidence</t>
        </is>
      </c>
      <c r="E193" t="n">
        <v>32.9272219</v>
      </c>
      <c r="F193" t="n">
        <v>-83.69887799999999</v>
      </c>
      <c r="G193" t="inlineStr">
        <is>
          <t>OSM way/164024559 'Arkwight Substation' [Georgia Power]</t>
        </is>
      </c>
      <c r="H193" t="n">
        <v>94</v>
      </c>
      <c r="I193" t="b">
        <v>1</v>
      </c>
      <c r="J193" t="n">
        <v>36</v>
      </c>
      <c r="L193" t="inlineStr">
        <is>
          <t>2 OSM substations named like 'ARKWRIGHT' (32.93,-83.70, 32.92,-83.73); picked the one nearest the zone 214 | low confidence: fuzzy name match (94)</t>
        </is>
      </c>
    </row>
    <row r="194">
      <c r="A194" t="inlineStr">
        <is>
          <t>GPC_63</t>
        </is>
      </c>
      <c r="B194" t="inlineStr">
        <is>
          <t>GRID - ARKWRIGHT - LLOYD SHOALS 115KV</t>
        </is>
      </c>
      <c r="C194" t="inlineStr">
        <is>
          <t>LLOYD SHOALS</t>
        </is>
      </c>
      <c r="D194" s="3" t="inlineStr">
        <is>
          <t>unlocated</t>
        </is>
      </c>
      <c r="L194" t="inlineStr">
        <is>
          <t>no OSM substation or Nominatim place matched</t>
        </is>
      </c>
    </row>
    <row r="195">
      <c r="A195" t="inlineStr">
        <is>
          <t>GPC_64</t>
        </is>
      </c>
      <c r="B195" t="inlineStr">
        <is>
          <t>ATHENA - EAST WATKINSVILLE 115 KV (REBUILD)</t>
        </is>
      </c>
      <c r="C195" t="inlineStr">
        <is>
          <t>ATHENA</t>
        </is>
      </c>
      <c r="D195" s="2" t="inlineStr">
        <is>
          <t>confirmed</t>
        </is>
      </c>
      <c r="E195" t="n">
        <v>33.9764031</v>
      </c>
      <c r="F195" t="n">
        <v>-83.34611889999999</v>
      </c>
      <c r="G195" t="inlineStr">
        <is>
          <t>OSM way/171540528 'Athena Substation' [Georgia Power]</t>
        </is>
      </c>
      <c r="H195" t="n">
        <v>100</v>
      </c>
      <c r="I195" t="b">
        <v>1</v>
      </c>
      <c r="J195" t="n">
        <v>46.3</v>
      </c>
      <c r="L195" t="inlineStr"/>
    </row>
    <row r="196">
      <c r="A196" t="inlineStr">
        <is>
          <t>GPC_64</t>
        </is>
      </c>
      <c r="B196" t="inlineStr">
        <is>
          <t>ATHENA - EAST WATKINSVILLE 115 KV (REBUILD)</t>
        </is>
      </c>
      <c r="C196" t="inlineStr">
        <is>
          <t>EAST WATKINSVILLE</t>
        </is>
      </c>
      <c r="D196" s="2" t="inlineStr">
        <is>
          <t>confirmed</t>
        </is>
      </c>
      <c r="E196" t="n">
        <v>33.8605463</v>
      </c>
      <c r="F196" t="n">
        <v>-83.38476489999999</v>
      </c>
      <c r="G196" t="inlineStr">
        <is>
          <t>OSM way/171540512 'East Watkinsville Substation' [Georgia Power]</t>
        </is>
      </c>
      <c r="H196" t="n">
        <v>100</v>
      </c>
      <c r="I196" t="b">
        <v>1</v>
      </c>
      <c r="J196" t="n">
        <v>54.2</v>
      </c>
      <c r="L196" t="inlineStr"/>
    </row>
    <row r="197">
      <c r="A197" t="inlineStr">
        <is>
          <t>GPC_65</t>
        </is>
      </c>
      <c r="B197" t="inlineStr">
        <is>
          <t>CC - HILL VIEW &amp; GRASSY HOLLOW SUB - CC IMPROVEMENTS</t>
        </is>
      </c>
      <c r="C197" t="inlineStr">
        <is>
          <t>CC</t>
        </is>
      </c>
      <c r="D197" t="inlineStr">
        <is>
          <t>not_a_place</t>
        </is>
      </c>
      <c r="L197" t="inlineStr">
        <is>
          <t>not a place name (customer-connection / program label) -- skipped</t>
        </is>
      </c>
    </row>
    <row r="198">
      <c r="A198" t="inlineStr">
        <is>
          <t>GPC_65</t>
        </is>
      </c>
      <c r="B198" t="inlineStr">
        <is>
          <t>CC - HILL VIEW &amp; GRASSY HOLLOW SUB - CC IMPROVEMENTS</t>
        </is>
      </c>
      <c r="C198" t="inlineStr">
        <is>
          <t>HILL VIEW</t>
        </is>
      </c>
      <c r="D198" s="3" t="inlineStr">
        <is>
          <t>unlocated</t>
        </is>
      </c>
      <c r="L198" t="inlineStr">
        <is>
          <t>no OSM substation or Nominatim place matched</t>
        </is>
      </c>
    </row>
    <row r="199">
      <c r="A199" t="inlineStr">
        <is>
          <t>GPC_65</t>
        </is>
      </c>
      <c r="B199" t="inlineStr">
        <is>
          <t>CC - HILL VIEW &amp; GRASSY HOLLOW SUB - CC IMPROVEMENTS</t>
        </is>
      </c>
      <c r="C199" t="inlineStr">
        <is>
          <t>CC IMPROVEMENTS</t>
        </is>
      </c>
      <c r="D199" t="inlineStr">
        <is>
          <t>not_a_place</t>
        </is>
      </c>
      <c r="L199" t="inlineStr">
        <is>
          <t>not a place name (customer-connection / program label) -- skipped</t>
        </is>
      </c>
    </row>
    <row r="200">
      <c r="A200" t="inlineStr">
        <is>
          <t>GPC_66</t>
        </is>
      </c>
      <c r="B200" t="inlineStr">
        <is>
          <t>DYER ROAD - EAST ROANOKE 115KV (REBUILD)</t>
        </is>
      </c>
      <c r="C200" t="inlineStr">
        <is>
          <t>DYER ROAD</t>
        </is>
      </c>
      <c r="D200" s="3" t="inlineStr">
        <is>
          <t>unlocated</t>
        </is>
      </c>
      <c r="L200" t="inlineStr">
        <is>
          <t>no OSM substation or Nominatim place matched</t>
        </is>
      </c>
    </row>
    <row r="201">
      <c r="A201" t="inlineStr">
        <is>
          <t>GPC_66</t>
        </is>
      </c>
      <c r="B201" t="inlineStr">
        <is>
          <t>DYER ROAD - EAST ROANOKE 115KV (REBUILD)</t>
        </is>
      </c>
      <c r="C201" t="inlineStr">
        <is>
          <t>EAST ROANOKE</t>
        </is>
      </c>
      <c r="D201" s="3" t="inlineStr">
        <is>
          <t>unlocated</t>
        </is>
      </c>
      <c r="L201" t="inlineStr">
        <is>
          <t>no OSM substation or Nominatim place matched</t>
        </is>
      </c>
    </row>
    <row r="202">
      <c r="A202" t="inlineStr">
        <is>
          <t>GPC_67</t>
        </is>
      </c>
      <c r="B202" t="inlineStr">
        <is>
          <t>AULTMAN ROAD-PERRY 115KV LINE REBUILD</t>
        </is>
      </c>
      <c r="C202" t="inlineStr">
        <is>
          <t>AULTMAN ROAD</t>
        </is>
      </c>
      <c r="D202" s="3" t="inlineStr">
        <is>
          <t>unlocated</t>
        </is>
      </c>
      <c r="L202" t="inlineStr">
        <is>
          <t>no OSM substation or Nominatim place matched</t>
        </is>
      </c>
    </row>
    <row r="203">
      <c r="A203" t="inlineStr">
        <is>
          <t>GPC_67</t>
        </is>
      </c>
      <c r="B203" t="inlineStr">
        <is>
          <t>AULTMAN ROAD-PERRY 115KV LINE REBUILD</t>
        </is>
      </c>
      <c r="C203" t="inlineStr">
        <is>
          <t>PERRY</t>
        </is>
      </c>
      <c r="D203" s="2" t="inlineStr">
        <is>
          <t>confirmed</t>
        </is>
      </c>
      <c r="E203" t="n">
        <v>32.4553814</v>
      </c>
      <c r="F203" t="n">
        <v>-83.7020208</v>
      </c>
      <c r="G203" t="inlineStr">
        <is>
          <t>OSM way/177850740 'Perry Primary Substation' [no operator tag]</t>
        </is>
      </c>
      <c r="H203" t="n">
        <v>100</v>
      </c>
      <c r="I203" t="b">
        <v>0</v>
      </c>
      <c r="J203" t="n">
        <v>59.6</v>
      </c>
      <c r="L203" t="inlineStr">
        <is>
          <t>confirmed: exact name, only such substation in the state; OSM has no operator tag</t>
        </is>
      </c>
    </row>
    <row r="204">
      <c r="A204" t="inlineStr">
        <is>
          <t>GPC_68</t>
        </is>
      </c>
      <c r="B204" t="inlineStr">
        <is>
          <t>CC - EAST VILLA RICA AREA SWITCHING STATION (CC IMPROVEMENT)</t>
        </is>
      </c>
      <c r="C204" t="inlineStr">
        <is>
          <t>CC</t>
        </is>
      </c>
      <c r="D204" t="inlineStr">
        <is>
          <t>not_a_place</t>
        </is>
      </c>
      <c r="L204" t="inlineStr">
        <is>
          <t>not a place name (customer-connection / program label) -- skipped</t>
        </is>
      </c>
    </row>
    <row r="205">
      <c r="A205" t="inlineStr">
        <is>
          <t>GPC_68</t>
        </is>
      </c>
      <c r="B205" t="inlineStr">
        <is>
          <t>CC - EAST VILLA RICA AREA SWITCHING STATION (CC IMPROVEMENT)</t>
        </is>
      </c>
      <c r="C205" t="inlineStr">
        <is>
          <t>EAST VILLA RICA AREA SWITCHING STATION (CC IMPROVEMENT)</t>
        </is>
      </c>
      <c r="D205" s="4" t="inlineStr">
        <is>
          <t>low_confidence</t>
        </is>
      </c>
      <c r="E205" t="n">
        <v>33.7417954</v>
      </c>
      <c r="F205" t="n">
        <v>-84.9595976</v>
      </c>
      <c r="G205" t="inlineStr">
        <is>
          <t>OSM way/1051878259 'West Villa Rica Substation' [no operator tag]</t>
        </is>
      </c>
      <c r="H205" t="n">
        <v>93</v>
      </c>
      <c r="I205" t="b">
        <v>0</v>
      </c>
      <c r="J205" t="n">
        <v>56.5</v>
      </c>
      <c r="L205" t="inlineStr">
        <is>
          <t>low confidence: fuzzy name match (93); OSM operator tag missing or not this utility</t>
        </is>
      </c>
    </row>
    <row r="206">
      <c r="A206" t="inlineStr">
        <is>
          <t>GPC_69</t>
        </is>
      </c>
      <c r="B206" t="inlineStr">
        <is>
          <t>CC - VILLA RICA UPGRADES (CC NETWORK IMPROVEMENTS)</t>
        </is>
      </c>
      <c r="C206" t="inlineStr">
        <is>
          <t>CC</t>
        </is>
      </c>
      <c r="D206" t="inlineStr">
        <is>
          <t>not_a_place</t>
        </is>
      </c>
      <c r="L206" t="inlineStr">
        <is>
          <t>not a place name (customer-connection / program label) -- skipped</t>
        </is>
      </c>
    </row>
    <row r="207">
      <c r="A207" t="inlineStr">
        <is>
          <t>GPC_69</t>
        </is>
      </c>
      <c r="B207" t="inlineStr">
        <is>
          <t>CC - VILLA RICA UPGRADES (CC NETWORK IMPROVEMENTS)</t>
        </is>
      </c>
      <c r="C207" t="inlineStr">
        <is>
          <t>VILLA RICA UPGRADES (CC NETWORK IMPROVEMENTS)</t>
        </is>
      </c>
      <c r="D207" s="2" t="inlineStr">
        <is>
          <t>confirmed</t>
        </is>
      </c>
      <c r="E207" t="n">
        <v>33.7410224</v>
      </c>
      <c r="F207" t="n">
        <v>-84.85486520000001</v>
      </c>
      <c r="G207" t="inlineStr">
        <is>
          <t>OSM way/159758304 'Villa Rica Substation' [no operator tag]</t>
        </is>
      </c>
      <c r="H207" t="n">
        <v>100</v>
      </c>
      <c r="I207" t="b">
        <v>0</v>
      </c>
      <c r="J207" t="n">
        <v>23.3</v>
      </c>
      <c r="L207" t="inlineStr">
        <is>
          <t>confirmed: exact name, only such substation in the state; OSM has no operator tag</t>
        </is>
      </c>
    </row>
    <row r="208">
      <c r="A208" t="inlineStr">
        <is>
          <t>GPC_70</t>
        </is>
      </c>
      <c r="B208" t="inlineStr">
        <is>
          <t>FITZGERALD - PITTS 115 KV LINE REBUILD</t>
        </is>
      </c>
      <c r="C208" t="inlineStr">
        <is>
          <t>FITZGERALD</t>
        </is>
      </c>
      <c r="D208" s="5" t="inlineStr">
        <is>
          <t>rejected</t>
        </is>
      </c>
      <c r="G208" t="inlineStr">
        <is>
          <t>OSM way/617660021 'Fitzgerald Substation' [no operator tag]</t>
        </is>
      </c>
      <c r="H208" t="n">
        <v>100</v>
      </c>
      <c r="I208" t="b">
        <v>0</v>
      </c>
      <c r="J208" t="n">
        <v>128.2</v>
      </c>
      <c r="L208" t="inlineStr">
        <is>
          <t>REJECTED OSM way/617660021 'Fitzgerald Substation' [no operator tag]: 128 km from the zone 214 centroid (zone radius 90 km) -- same name, wrong part of the state</t>
        </is>
      </c>
    </row>
    <row r="209">
      <c r="A209" t="inlineStr">
        <is>
          <t>GPC_70</t>
        </is>
      </c>
      <c r="B209" t="inlineStr">
        <is>
          <t>FITZGERALD - PITTS 115 KV LINE REBUILD</t>
        </is>
      </c>
      <c r="C209" t="inlineStr">
        <is>
          <t>PITTS</t>
        </is>
      </c>
      <c r="D209" s="5" t="inlineStr">
        <is>
          <t>rejected</t>
        </is>
      </c>
      <c r="G209" t="inlineStr">
        <is>
          <t>Nominatim place: Pitts, Wilcox County, Georgia, United States</t>
        </is>
      </c>
      <c r="H209" t="n">
        <v>100</v>
      </c>
      <c r="J209" t="n">
        <v>106.4</v>
      </c>
      <c r="L209" t="inlineStr">
        <is>
          <t>no substation in OSM; using the centroid of the town it is named after | REJECTED Nominatim place: Pitts, Wilcox County, Georgia, United States: 106 km from the zone 214 centroid (zone radius 90 km) -- same name, wrong part of the state</t>
        </is>
      </c>
    </row>
    <row r="210">
      <c r="A210" t="inlineStr">
        <is>
          <t>GPC_71</t>
        </is>
      </c>
      <c r="B210" t="inlineStr">
        <is>
          <t>JACK MCDONOUGH - NORTHWEST (BLACK) 230KV RECONDUCTOR</t>
        </is>
      </c>
      <c r="C210" t="inlineStr">
        <is>
          <t>JACK MCDONOUGH</t>
        </is>
      </c>
      <c r="D210" s="3" t="inlineStr">
        <is>
          <t>unlocated</t>
        </is>
      </c>
      <c r="L210" t="inlineStr">
        <is>
          <t>no OSM substation or Nominatim place matched</t>
        </is>
      </c>
    </row>
    <row r="211">
      <c r="A211" t="inlineStr">
        <is>
          <t>GPC_71</t>
        </is>
      </c>
      <c r="B211" t="inlineStr">
        <is>
          <t>JACK MCDONOUGH - NORTHWEST (BLACK) 230KV RECONDUCTOR</t>
        </is>
      </c>
      <c r="C211" t="inlineStr">
        <is>
          <t>NORTHWEST (BLACK)</t>
        </is>
      </c>
      <c r="D211" s="3" t="inlineStr">
        <is>
          <t>unlocated</t>
        </is>
      </c>
      <c r="L211" t="inlineStr">
        <is>
          <t>no OSM substation or Nominatim place matched</t>
        </is>
      </c>
    </row>
    <row r="212">
      <c r="A212" t="inlineStr">
        <is>
          <t>GPC_72</t>
        </is>
      </c>
      <c r="B212" t="inlineStr">
        <is>
          <t>PITTMAN ROAD - WEST POINT DAM (USA) 115KV REBUILD</t>
        </is>
      </c>
      <c r="C212" t="inlineStr">
        <is>
          <t>PITTMAN ROAD</t>
        </is>
      </c>
      <c r="D212" s="3" t="inlineStr">
        <is>
          <t>unlocated</t>
        </is>
      </c>
      <c r="L212" t="inlineStr">
        <is>
          <t>no OSM substation or Nominatim place matched</t>
        </is>
      </c>
    </row>
    <row r="213">
      <c r="A213" t="inlineStr">
        <is>
          <t>GPC_72</t>
        </is>
      </c>
      <c r="B213" t="inlineStr">
        <is>
          <t>PITTMAN ROAD - WEST POINT DAM (USA) 115KV REBUILD</t>
        </is>
      </c>
      <c r="C213" t="inlineStr">
        <is>
          <t>WEST POINT DAM (USA)</t>
        </is>
      </c>
      <c r="D213" s="4" t="inlineStr">
        <is>
          <t>low_confidence</t>
        </is>
      </c>
      <c r="E213" t="n">
        <v>32.9186235</v>
      </c>
      <c r="F213" t="n">
        <v>-85.1903899</v>
      </c>
      <c r="G213" t="inlineStr">
        <is>
          <t>OSM way/1051943826 'West Point Dam Substation' [no operator tag]</t>
        </is>
      </c>
      <c r="H213" t="n">
        <v>100</v>
      </c>
      <c r="I213" t="b">
        <v>0</v>
      </c>
      <c r="L213" t="inlineStr">
        <is>
          <t>2 same-named OSM substations and no context to choose | low confidence: OSM operator tag missing or not this utility; ambiguous, several same-named substations</t>
        </is>
      </c>
    </row>
    <row r="214">
      <c r="A214" t="inlineStr">
        <is>
          <t>GPC_73</t>
        </is>
      </c>
      <c r="B214" t="inlineStr">
        <is>
          <t>PLANT YATES BREAKER AND HALF STATION</t>
        </is>
      </c>
      <c r="C214" t="inlineStr">
        <is>
          <t>PLANT YATES BREAKER AND HALF STATION</t>
        </is>
      </c>
      <c r="D214" s="4" t="inlineStr">
        <is>
          <t>low_confidence</t>
        </is>
      </c>
      <c r="E214" t="n">
        <v>33.463447</v>
      </c>
      <c r="F214" t="n">
        <v>-84.89493849999999</v>
      </c>
      <c r="G214" t="inlineStr">
        <is>
          <t>Nominatim place: Yates, Coweta County, Georgia, 30275, United States</t>
        </is>
      </c>
      <c r="H214" t="n">
        <v>100</v>
      </c>
      <c r="J214" t="n">
        <v>43.1</v>
      </c>
      <c r="L214" t="inlineStr">
        <is>
          <t>no substation in OSM; using the centroid of the town it is named after | low confidence: town centroid, not the substation itself</t>
        </is>
      </c>
    </row>
    <row r="215">
      <c r="A215" t="inlineStr">
        <is>
          <t>GPC_74</t>
        </is>
      </c>
      <c r="B215" t="inlineStr">
        <is>
          <t>SAV: COLEMAN - DEAN FOREST 115KV LINE REBUILD</t>
        </is>
      </c>
      <c r="C215" t="inlineStr">
        <is>
          <t>COLEMAN</t>
        </is>
      </c>
      <c r="D215" s="2" t="inlineStr">
        <is>
          <t>confirmed</t>
        </is>
      </c>
      <c r="E215" t="n">
        <v>32.0973197</v>
      </c>
      <c r="F215" t="n">
        <v>-81.116077</v>
      </c>
      <c r="G215" t="inlineStr">
        <is>
          <t>OSM way/1011846565 'Coleman Substation' [Georgia Power]</t>
        </is>
      </c>
      <c r="H215" t="n">
        <v>100</v>
      </c>
      <c r="I215" t="b">
        <v>1</v>
      </c>
      <c r="J215" t="n">
        <v>6.5</v>
      </c>
      <c r="L215" t="inlineStr">
        <is>
          <t>2 OSM substations named like 'COLEMAN' (32.11,-81.23, 32.10,-81.12); picked the one nearest the zone 219</t>
        </is>
      </c>
    </row>
    <row r="216">
      <c r="A216" t="inlineStr">
        <is>
          <t>GPC_74</t>
        </is>
      </c>
      <c r="B216" t="inlineStr">
        <is>
          <t>SAV: COLEMAN - DEAN FOREST 115KV LINE REBUILD</t>
        </is>
      </c>
      <c r="C216" t="inlineStr">
        <is>
          <t>DEAN FOREST</t>
        </is>
      </c>
      <c r="D216" s="2" t="inlineStr">
        <is>
          <t>confirmed</t>
        </is>
      </c>
      <c r="E216" t="n">
        <v>32.0835097</v>
      </c>
      <c r="F216" t="n">
        <v>-81.18872229999999</v>
      </c>
      <c r="G216" t="inlineStr">
        <is>
          <t>OSM way/121674829 'Dean Forest Substation' [Georgia Power]</t>
        </is>
      </c>
      <c r="H216" t="n">
        <v>100</v>
      </c>
      <c r="I216" t="b">
        <v>1</v>
      </c>
      <c r="J216" t="n">
        <v>2.3</v>
      </c>
      <c r="L216" t="inlineStr"/>
    </row>
    <row r="217">
      <c r="A217" t="inlineStr">
        <is>
          <t>GPC_75</t>
        </is>
      </c>
      <c r="B217" t="inlineStr">
        <is>
          <t>SAV: MAGNOLIA - TRUMAN PARKWAY 115KV REBUILD</t>
        </is>
      </c>
      <c r="C217" t="inlineStr">
        <is>
          <t>MAGNOLIA</t>
        </is>
      </c>
      <c r="D217" s="2" t="inlineStr">
        <is>
          <t>confirmed</t>
        </is>
      </c>
      <c r="E217" t="n">
        <v>32.0226869</v>
      </c>
      <c r="F217" t="n">
        <v>-81.0861807</v>
      </c>
      <c r="G217" t="inlineStr">
        <is>
          <t>OSM way/121857248 'Magnolia Substation' [Georgia Power]</t>
        </is>
      </c>
      <c r="H217" t="n">
        <v>100</v>
      </c>
      <c r="I217" t="b">
        <v>1</v>
      </c>
      <c r="J217" t="n">
        <v>9.699999999999999</v>
      </c>
      <c r="L217" t="inlineStr"/>
    </row>
    <row r="218">
      <c r="A218" t="inlineStr">
        <is>
          <t>GPC_75</t>
        </is>
      </c>
      <c r="B218" t="inlineStr">
        <is>
          <t>SAV: MAGNOLIA - TRUMAN PARKWAY 115KV REBUILD</t>
        </is>
      </c>
      <c r="C218" t="inlineStr">
        <is>
          <t>TRUMAN PARKWAY</t>
        </is>
      </c>
      <c r="D218" s="3" t="inlineStr">
        <is>
          <t>unlocated</t>
        </is>
      </c>
      <c r="L218" t="inlineStr">
        <is>
          <t>no OSM substation or Nominatim place matched</t>
        </is>
      </c>
    </row>
    <row r="219">
      <c r="A219" t="inlineStr">
        <is>
          <t>GPC_76</t>
        </is>
      </c>
      <c r="B219" t="inlineStr">
        <is>
          <t>SMART VALVES AT EAST VILLA RICA SWITCHING STATION</t>
        </is>
      </c>
      <c r="C219" t="inlineStr">
        <is>
          <t>SMART VALVES AT EAST VILLA RICA SWITCHING STATION</t>
        </is>
      </c>
      <c r="D219" t="inlineStr">
        <is>
          <t>not_a_place</t>
        </is>
      </c>
      <c r="L219" t="inlineStr">
        <is>
          <t>not a place name (customer-connection / program label) -- skipped</t>
        </is>
      </c>
    </row>
    <row r="220">
      <c r="A220" t="inlineStr">
        <is>
          <t>GPC_77</t>
        </is>
      </c>
      <c r="B220" t="inlineStr">
        <is>
          <t>SOUTH MACON 115KV BUSES 1 &amp; 2 REPLACEMENT</t>
        </is>
      </c>
      <c r="C220" t="inlineStr">
        <is>
          <t>SOUTH MACON</t>
        </is>
      </c>
      <c r="D220" s="2" t="inlineStr">
        <is>
          <t>confirmed</t>
        </is>
      </c>
      <c r="E220" t="n">
        <v>32.8203492</v>
      </c>
      <c r="F220" t="n">
        <v>-83.6261978</v>
      </c>
      <c r="G220" t="inlineStr">
        <is>
          <t>OSM way/170991653 'South Macon Substation' [Georgia Power]</t>
        </is>
      </c>
      <c r="H220" t="n">
        <v>100</v>
      </c>
      <c r="I220" t="b">
        <v>1</v>
      </c>
      <c r="J220" t="n">
        <v>29.7</v>
      </c>
      <c r="L220" t="inlineStr"/>
    </row>
    <row r="221">
      <c r="A221" t="inlineStr">
        <is>
          <t>GPC_78</t>
        </is>
      </c>
      <c r="B221" t="inlineStr">
        <is>
          <t>UNION CITY - YATES 230KV (BLACK) LINE REBUILD</t>
        </is>
      </c>
      <c r="C221" t="inlineStr">
        <is>
          <t>UNION CITY</t>
        </is>
      </c>
      <c r="D221" s="4" t="inlineStr">
        <is>
          <t>low_confidence</t>
        </is>
      </c>
      <c r="E221" t="n">
        <v>33.5870558</v>
      </c>
      <c r="F221" t="n">
        <v>-84.5424299</v>
      </c>
      <c r="G221" t="inlineStr">
        <is>
          <t>Nominatim place: Union City, Fulton County, Georgia, United States</t>
        </is>
      </c>
      <c r="H221" t="n">
        <v>100</v>
      </c>
      <c r="J221" t="n">
        <v>7.7</v>
      </c>
      <c r="L221" t="inlineStr">
        <is>
          <t>no substation in OSM; using the centroid of the town it is named after | low confidence: town centroid, not the substation itself</t>
        </is>
      </c>
    </row>
    <row r="222">
      <c r="A222" t="inlineStr">
        <is>
          <t>GPC_78</t>
        </is>
      </c>
      <c r="B222" t="inlineStr">
        <is>
          <t>UNION CITY - YATES 230KV (BLACK) LINE REBUILD</t>
        </is>
      </c>
      <c r="C222" t="inlineStr">
        <is>
          <t>YATES</t>
        </is>
      </c>
      <c r="D222" s="4" t="inlineStr">
        <is>
          <t>low_confidence</t>
        </is>
      </c>
      <c r="E222" t="n">
        <v>33.463447</v>
      </c>
      <c r="F222" t="n">
        <v>-84.89493849999999</v>
      </c>
      <c r="G222" t="inlineStr">
        <is>
          <t>Nominatim place: Yates, Coweta County, Georgia, 30275, United States</t>
        </is>
      </c>
      <c r="H222" t="n">
        <v>100</v>
      </c>
      <c r="J222" t="n">
        <v>43.1</v>
      </c>
      <c r="L222" t="inlineStr">
        <is>
          <t>no substation in OSM; using the centroid of the town it is named after | low confidence: town centroid, not the substation itself</t>
        </is>
      </c>
    </row>
    <row r="223">
      <c r="A223" t="inlineStr">
        <is>
          <t>GPC_79</t>
        </is>
      </c>
      <c r="B223" t="inlineStr">
        <is>
          <t>FIRST AVENUE - NORTH COLUMBUS 115KV LINE REBUILD</t>
        </is>
      </c>
      <c r="C223" t="inlineStr">
        <is>
          <t>FIRST AVENUE</t>
        </is>
      </c>
      <c r="D223" s="3" t="inlineStr">
        <is>
          <t>unlocated</t>
        </is>
      </c>
      <c r="L223" t="inlineStr">
        <is>
          <t>no OSM substation or Nominatim place matched</t>
        </is>
      </c>
    </row>
    <row r="224">
      <c r="A224" t="inlineStr">
        <is>
          <t>GPC_79</t>
        </is>
      </c>
      <c r="B224" t="inlineStr">
        <is>
          <t>FIRST AVENUE - NORTH COLUMBUS 115KV LINE REBUILD</t>
        </is>
      </c>
      <c r="C224" t="inlineStr">
        <is>
          <t>NORTH COLUMBUS</t>
        </is>
      </c>
      <c r="D224" s="3" t="inlineStr">
        <is>
          <t>unlocated</t>
        </is>
      </c>
      <c r="L224" t="inlineStr">
        <is>
          <t>no OSM substation or Nominatim place matched</t>
        </is>
      </c>
    </row>
    <row r="225">
      <c r="A225" t="inlineStr">
        <is>
          <t>GPC_80</t>
        </is>
      </c>
      <c r="B225" t="inlineStr">
        <is>
          <t>ASHLEY PARK-WANSLEY 500KV</t>
        </is>
      </c>
      <c r="C225" t="inlineStr">
        <is>
          <t>ASHLEY PARK</t>
        </is>
      </c>
      <c r="D225" s="4" t="inlineStr">
        <is>
          <t>low_confidence</t>
        </is>
      </c>
      <c r="E225" t="n">
        <v>33.5073355</v>
      </c>
      <c r="F225" t="n">
        <v>-84.4768716</v>
      </c>
      <c r="G225" t="inlineStr">
        <is>
          <t>Nominatim place: Ashley Park, Fayette County, Georgia, 30214, United States</t>
        </is>
      </c>
      <c r="H225" t="n">
        <v>100</v>
      </c>
      <c r="J225" t="n">
        <v>11</v>
      </c>
      <c r="L225" t="inlineStr">
        <is>
          <t>no substation in OSM; using the centroid of the town it is named after | low confidence: town centroid, not the substation itself</t>
        </is>
      </c>
    </row>
    <row r="226">
      <c r="A226" t="inlineStr">
        <is>
          <t>GPC_80</t>
        </is>
      </c>
      <c r="B226" t="inlineStr">
        <is>
          <t>ASHLEY PARK-WANSLEY 500KV</t>
        </is>
      </c>
      <c r="C226" t="inlineStr">
        <is>
          <t>WANSLEY</t>
        </is>
      </c>
      <c r="D226" s="2" t="inlineStr">
        <is>
          <t>confirmed</t>
        </is>
      </c>
      <c r="E226" t="n">
        <v>33.4109556</v>
      </c>
      <c r="F226" t="n">
        <v>-85.03076900000001</v>
      </c>
      <c r="G226" t="inlineStr">
        <is>
          <t>OSM way/159784571 'Wansley Substation' [no operator tag]</t>
        </is>
      </c>
      <c r="H226" t="n">
        <v>100</v>
      </c>
      <c r="I226" t="b">
        <v>0</v>
      </c>
      <c r="J226" t="n">
        <v>56.9</v>
      </c>
      <c r="L226" t="inlineStr">
        <is>
          <t>confirmed: exact name, only such substation in the state; OSM has no operator tag</t>
        </is>
      </c>
    </row>
    <row r="227">
      <c r="A227" t="inlineStr">
        <is>
          <t>GPC_81</t>
        </is>
      </c>
      <c r="B227" t="inlineStr">
        <is>
          <t>BLAKELY PRIMARY - HUCKLEBERRY 115KV REBUILD</t>
        </is>
      </c>
      <c r="C227" t="inlineStr">
        <is>
          <t>BLAKELY PRIMARY</t>
        </is>
      </c>
      <c r="D227" s="2" t="inlineStr">
        <is>
          <t>confirmed</t>
        </is>
      </c>
      <c r="E227" t="n">
        <v>31.371554</v>
      </c>
      <c r="F227" t="n">
        <v>-84.9059802</v>
      </c>
      <c r="G227" t="inlineStr">
        <is>
          <t>OSM way/270628470 'Blakely Primary Substation' [Georgia Power]</t>
        </is>
      </c>
      <c r="H227" t="n">
        <v>100</v>
      </c>
      <c r="I227" t="b">
        <v>1</v>
      </c>
      <c r="J227" t="n">
        <v>113.6</v>
      </c>
      <c r="L227" t="inlineStr"/>
    </row>
    <row r="228">
      <c r="A228" t="inlineStr">
        <is>
          <t>GPC_81</t>
        </is>
      </c>
      <c r="B228" t="inlineStr">
        <is>
          <t>BLAKELY PRIMARY - HUCKLEBERRY 115KV REBUILD</t>
        </is>
      </c>
      <c r="C228" t="inlineStr">
        <is>
          <t>HUCKLEBERRY</t>
        </is>
      </c>
      <c r="D228" s="3" t="inlineStr">
        <is>
          <t>unlocated</t>
        </is>
      </c>
      <c r="L228" t="inlineStr">
        <is>
          <t>no OSM substation or Nominatim place matched</t>
        </is>
      </c>
    </row>
    <row r="229">
      <c r="A229" t="inlineStr">
        <is>
          <t>GPC_82</t>
        </is>
      </c>
      <c r="B229" t="inlineStr">
        <is>
          <t>BROADWAY - ECHECONNEE 115 KV LINE REBUILD</t>
        </is>
      </c>
      <c r="C229" t="inlineStr">
        <is>
          <t>BROADWAY</t>
        </is>
      </c>
      <c r="D229" s="3" t="inlineStr">
        <is>
          <t>unlocated</t>
        </is>
      </c>
      <c r="L229" t="inlineStr">
        <is>
          <t>no OSM substation or Nominatim place matched</t>
        </is>
      </c>
    </row>
    <row r="230">
      <c r="A230" t="inlineStr">
        <is>
          <t>GPC_82</t>
        </is>
      </c>
      <c r="B230" t="inlineStr">
        <is>
          <t>BROADWAY - ECHECONNEE 115 KV LINE REBUILD</t>
        </is>
      </c>
      <c r="C230" t="inlineStr">
        <is>
          <t>ECHECONNEE</t>
        </is>
      </c>
      <c r="D230" s="4" t="inlineStr">
        <is>
          <t>low_confidence</t>
        </is>
      </c>
      <c r="E230" t="n">
        <v>32.6851436</v>
      </c>
      <c r="F230" t="n">
        <v>-83.700462</v>
      </c>
      <c r="G230" t="inlineStr">
        <is>
          <t>Nominatim place: Echeconnee, Houston County, Georgia, 31216, United States</t>
        </is>
      </c>
      <c r="H230" t="n">
        <v>100</v>
      </c>
      <c r="J230" t="n">
        <v>42</v>
      </c>
      <c r="L230" t="inlineStr">
        <is>
          <t>no substation in OSM; using the centroid of the town it is named after | low confidence: town centroid, not the substation itself</t>
        </is>
      </c>
    </row>
    <row r="231">
      <c r="A231" t="inlineStr">
        <is>
          <t>GPC_83</t>
        </is>
      </c>
      <c r="B231" t="inlineStr">
        <is>
          <t>BUTLER - THOMASTON 230KV LINE CONVERSION</t>
        </is>
      </c>
      <c r="C231" t="inlineStr">
        <is>
          <t>BUTLER</t>
        </is>
      </c>
      <c r="D231" s="2" t="inlineStr">
        <is>
          <t>confirmed</t>
        </is>
      </c>
      <c r="E231" t="n">
        <v>32.5710217</v>
      </c>
      <c r="F231" t="n">
        <v>-84.28972880000001</v>
      </c>
      <c r="G231" t="inlineStr">
        <is>
          <t>OSM way/170999705 'Butler Primary Substation' [no operator tag]</t>
        </is>
      </c>
      <c r="H231" t="n">
        <v>100</v>
      </c>
      <c r="I231" t="b">
        <v>0</v>
      </c>
      <c r="L231" t="inlineStr">
        <is>
          <t>confirmed: exact name, only such substation in the state; OSM has no operator tag</t>
        </is>
      </c>
    </row>
    <row r="232">
      <c r="A232" t="inlineStr">
        <is>
          <t>GPC_83</t>
        </is>
      </c>
      <c r="B232" t="inlineStr">
        <is>
          <t>BUTLER - THOMASTON 230KV LINE CONVERSION</t>
        </is>
      </c>
      <c r="C232" t="inlineStr">
        <is>
          <t>THOMASTON</t>
        </is>
      </c>
      <c r="D232" s="4" t="inlineStr">
        <is>
          <t>low_confidence</t>
        </is>
      </c>
      <c r="E232" t="n">
        <v>32.8999225</v>
      </c>
      <c r="F232" t="n">
        <v>-84.3125168</v>
      </c>
      <c r="G232" t="inlineStr">
        <is>
          <t>OSM way/160308061 'Thomaston Primary Substation' [Georgia Power]</t>
        </is>
      </c>
      <c r="H232" t="n">
        <v>100</v>
      </c>
      <c r="I232" t="b">
        <v>1</v>
      </c>
      <c r="L232" t="inlineStr">
        <is>
          <t>2 same-named OSM substations and no context to choose | low confidence: ambiguous, several same-named substations</t>
        </is>
      </c>
    </row>
    <row r="233">
      <c r="A233" t="inlineStr">
        <is>
          <t>GPC_84</t>
        </is>
      </c>
      <c r="B233" t="inlineStr">
        <is>
          <t>BUZZARD ROOST - FACTORY SHOALS 230KV NEW LINE</t>
        </is>
      </c>
      <c r="C233" t="inlineStr">
        <is>
          <t>BUZZARD ROOST</t>
        </is>
      </c>
      <c r="D233" s="3" t="inlineStr">
        <is>
          <t>unlocated</t>
        </is>
      </c>
      <c r="L233" t="inlineStr">
        <is>
          <t>no OSM substation or Nominatim place matched</t>
        </is>
      </c>
    </row>
    <row r="234">
      <c r="A234" t="inlineStr">
        <is>
          <t>GPC_84</t>
        </is>
      </c>
      <c r="B234" t="inlineStr">
        <is>
          <t>BUZZARD ROOST - FACTORY SHOALS 230KV NEW LINE</t>
        </is>
      </c>
      <c r="C234" t="inlineStr">
        <is>
          <t>FACTORY SHOALS</t>
        </is>
      </c>
      <c r="D234" s="3" t="inlineStr">
        <is>
          <t>unlocated</t>
        </is>
      </c>
      <c r="L234" t="inlineStr">
        <is>
          <t>no OSM substation or Nominatim place matched</t>
        </is>
      </c>
    </row>
    <row r="235">
      <c r="A235" t="inlineStr">
        <is>
          <t>GPC_85</t>
        </is>
      </c>
      <c r="B235" t="inlineStr">
        <is>
          <t>CONYERS - KLONDIKE 230 KV SECOND LINE</t>
        </is>
      </c>
      <c r="C235" t="inlineStr">
        <is>
          <t>CONYERS</t>
        </is>
      </c>
      <c r="D235" s="4" t="inlineStr">
        <is>
          <t>low_confidence</t>
        </is>
      </c>
      <c r="E235" t="n">
        <v>33.6676103</v>
      </c>
      <c r="F235" t="n">
        <v>-84.01769040000001</v>
      </c>
      <c r="G235" t="inlineStr">
        <is>
          <t>Nominatim place: Conyers, Rockdale County, Georgia, United States</t>
        </is>
      </c>
      <c r="H235" t="n">
        <v>100</v>
      </c>
      <c r="J235" t="n">
        <v>10.5</v>
      </c>
      <c r="L235" t="inlineStr">
        <is>
          <t>no substation in OSM; using the centroid of the town it is named after | low confidence: town centroid, not the substation itself</t>
        </is>
      </c>
    </row>
    <row r="236">
      <c r="A236" t="inlineStr">
        <is>
          <t>GPC_85</t>
        </is>
      </c>
      <c r="B236" t="inlineStr">
        <is>
          <t>CONYERS - KLONDIKE 230 KV SECOND LINE</t>
        </is>
      </c>
      <c r="C236" t="inlineStr">
        <is>
          <t>KLONDIKE</t>
        </is>
      </c>
      <c r="D236" s="2" t="inlineStr">
        <is>
          <t>confirmed</t>
        </is>
      </c>
      <c r="E236" t="n">
        <v>33.6369768</v>
      </c>
      <c r="F236" t="n">
        <v>-84.124487</v>
      </c>
      <c r="G236" t="inlineStr">
        <is>
          <t>OSM way/159784541 'Klondike Substation' [Georgia Power]</t>
        </is>
      </c>
      <c r="H236" t="n">
        <v>100</v>
      </c>
      <c r="I236" t="b">
        <v>1</v>
      </c>
      <c r="J236" t="n">
        <v>0</v>
      </c>
      <c r="L236" t="inlineStr"/>
    </row>
    <row r="237">
      <c r="A237" t="inlineStr">
        <is>
          <t>GPC_86</t>
        </is>
      </c>
      <c r="B237" t="inlineStr">
        <is>
          <t>GLENWOOD SPRINGS - PORTERDALE PRIMARY 230KV LINE SWITCH REPL</t>
        </is>
      </c>
      <c r="C237" t="inlineStr">
        <is>
          <t>GLENWOOD SPRINGS</t>
        </is>
      </c>
      <c r="D237" s="3" t="inlineStr">
        <is>
          <t>unlocated</t>
        </is>
      </c>
      <c r="L237" t="inlineStr">
        <is>
          <t>no OSM substation or Nominatim place matched</t>
        </is>
      </c>
    </row>
    <row r="238">
      <c r="A238" t="inlineStr">
        <is>
          <t>GPC_86</t>
        </is>
      </c>
      <c r="B238" t="inlineStr">
        <is>
          <t>GLENWOOD SPRINGS - PORTERDALE PRIMARY 230KV LINE SWITCH REPL</t>
        </is>
      </c>
      <c r="C238" t="inlineStr">
        <is>
          <t>PORTERDALE PRIMARY</t>
        </is>
      </c>
      <c r="D238" s="4" t="inlineStr">
        <is>
          <t>low_confidence</t>
        </is>
      </c>
      <c r="E238" t="n">
        <v>33.5751146</v>
      </c>
      <c r="F238" t="n">
        <v>-83.8937954</v>
      </c>
      <c r="G238" t="inlineStr">
        <is>
          <t>Nominatim place: Porterdale, Newton County, Georgia, 30070, United States</t>
        </is>
      </c>
      <c r="H238" t="n">
        <v>100</v>
      </c>
      <c r="J238" t="n">
        <v>22.4</v>
      </c>
      <c r="L238" t="inlineStr">
        <is>
          <t>no substation in OSM; using the centroid of the town it is named after | low confidence: town centroid, not the substation itself</t>
        </is>
      </c>
    </row>
    <row r="239">
      <c r="A239" t="inlineStr">
        <is>
          <t>GPC_87</t>
        </is>
      </c>
      <c r="B239" t="inlineStr">
        <is>
          <t>LLOYD SHOALS - PORTERDALE PRIMARY 115KV REBUILD</t>
        </is>
      </c>
      <c r="C239" t="inlineStr">
        <is>
          <t>LLOYD SHOALS</t>
        </is>
      </c>
      <c r="D239" s="3" t="inlineStr">
        <is>
          <t>unlocated</t>
        </is>
      </c>
      <c r="L239" t="inlineStr">
        <is>
          <t>no OSM substation or Nominatim place matched</t>
        </is>
      </c>
    </row>
    <row r="240">
      <c r="A240" t="inlineStr">
        <is>
          <t>GPC_87</t>
        </is>
      </c>
      <c r="B240" t="inlineStr">
        <is>
          <t>LLOYD SHOALS - PORTERDALE PRIMARY 115KV REBUILD</t>
        </is>
      </c>
      <c r="C240" t="inlineStr">
        <is>
          <t>PORTERDALE PRIMARY</t>
        </is>
      </c>
      <c r="D240" s="4" t="inlineStr">
        <is>
          <t>low_confidence</t>
        </is>
      </c>
      <c r="E240" t="n">
        <v>33.5751146</v>
      </c>
      <c r="F240" t="n">
        <v>-83.8937954</v>
      </c>
      <c r="G240" t="inlineStr">
        <is>
          <t>Nominatim place: Porterdale, Newton County, Georgia, 30070, United States</t>
        </is>
      </c>
      <c r="H240" t="n">
        <v>100</v>
      </c>
      <c r="J240" t="n">
        <v>22.4</v>
      </c>
      <c r="L240" t="inlineStr">
        <is>
          <t>no substation in OSM; using the centroid of the town it is named after | low confidence: town centroid, not the substation itself</t>
        </is>
      </c>
    </row>
    <row r="241">
      <c r="A241" t="inlineStr">
        <is>
          <t>GPC_88</t>
        </is>
      </c>
      <c r="B241" t="inlineStr">
        <is>
          <t>LOWER RIVER - WEBB (APC) 115KV RECONDUCTOR</t>
        </is>
      </c>
      <c r="C241" t="inlineStr">
        <is>
          <t>LOWER RIVER</t>
        </is>
      </c>
      <c r="D241" s="3" t="inlineStr">
        <is>
          <t>unlocated</t>
        </is>
      </c>
      <c r="L241" t="inlineStr">
        <is>
          <t>no OSM substation or Nominatim place matched</t>
        </is>
      </c>
    </row>
    <row r="242">
      <c r="A242" t="inlineStr">
        <is>
          <t>GPC_88</t>
        </is>
      </c>
      <c r="B242" t="inlineStr">
        <is>
          <t>LOWER RIVER - WEBB (APC) 115KV RECONDUCTOR</t>
        </is>
      </c>
      <c r="C242" t="inlineStr">
        <is>
          <t>WEBB (APC)</t>
        </is>
      </c>
      <c r="D242" s="5" t="inlineStr">
        <is>
          <t>rejected</t>
        </is>
      </c>
      <c r="G242" t="inlineStr">
        <is>
          <t>Nominatim place: Webb, Milton, Fulton County, Georgia, 30005, United States</t>
        </is>
      </c>
      <c r="H242" t="n">
        <v>100</v>
      </c>
      <c r="J242" t="n">
        <v>359.5</v>
      </c>
      <c r="L242" t="inlineStr">
        <is>
          <t>no substation in OSM; using the centroid of the town it is named after | REJECTED Nominatim place: Webb, Milton, Fulton County, Georgia, 30005, United States: 360 km from the zone 216 centroid (zone radius 142 km) -- same name, wrong part of the state</t>
        </is>
      </c>
    </row>
    <row r="243">
      <c r="A243" t="inlineStr">
        <is>
          <t>GPC_89</t>
        </is>
      </c>
      <c r="B243" t="inlineStr">
        <is>
          <t>MCEVER ROAD - SHOAL CREEK 115KV REBUILD</t>
        </is>
      </c>
      <c r="C243" t="inlineStr">
        <is>
          <t>MCEVER ROAD</t>
        </is>
      </c>
      <c r="D243" s="2" t="inlineStr">
        <is>
          <t>confirmed</t>
        </is>
      </c>
      <c r="E243" t="n">
        <v>34.2728832</v>
      </c>
      <c r="F243" t="n">
        <v>-83.8738012</v>
      </c>
      <c r="G243" t="inlineStr">
        <is>
          <t>OSM way/1037359821 'McEver Road Substation' [Georgia Power]</t>
        </is>
      </c>
      <c r="H243" t="n">
        <v>100</v>
      </c>
      <c r="I243" t="b">
        <v>1</v>
      </c>
      <c r="J243" t="n">
        <v>16.1</v>
      </c>
      <c r="L243" t="inlineStr"/>
    </row>
    <row r="244">
      <c r="A244" t="inlineStr">
        <is>
          <t>GPC_89</t>
        </is>
      </c>
      <c r="B244" t="inlineStr">
        <is>
          <t>MCEVER ROAD - SHOAL CREEK 115KV REBUILD</t>
        </is>
      </c>
      <c r="C244" t="inlineStr">
        <is>
          <t>SHOAL CREEK</t>
        </is>
      </c>
      <c r="D244" s="3" t="inlineStr">
        <is>
          <t>unlocated</t>
        </is>
      </c>
      <c r="L244" t="inlineStr">
        <is>
          <t>no OSM substation or Nominatim place matched</t>
        </is>
      </c>
    </row>
    <row r="245">
      <c r="A245" t="inlineStr">
        <is>
          <t>GPC_90</t>
        </is>
      </c>
      <c r="B245" t="inlineStr">
        <is>
          <t>MCMANUS - WEST BRUNSWICK 115KV REBUILD</t>
        </is>
      </c>
      <c r="C245" t="inlineStr">
        <is>
          <t>MCMANUS</t>
        </is>
      </c>
      <c r="D245" s="3" t="inlineStr">
        <is>
          <t>unlocated</t>
        </is>
      </c>
      <c r="L245" t="inlineStr">
        <is>
          <t>no OSM substation or Nominatim place matched</t>
        </is>
      </c>
    </row>
    <row r="246">
      <c r="A246" t="inlineStr">
        <is>
          <t>GPC_90</t>
        </is>
      </c>
      <c r="B246" t="inlineStr">
        <is>
          <t>MCMANUS - WEST BRUNSWICK 115KV REBUILD</t>
        </is>
      </c>
      <c r="C246" t="inlineStr">
        <is>
          <t>WEST BRUNSWICK</t>
        </is>
      </c>
      <c r="D246" s="2" t="inlineStr">
        <is>
          <t>confirmed</t>
        </is>
      </c>
      <c r="E246" t="n">
        <v>31.2799089</v>
      </c>
      <c r="F246" t="n">
        <v>-81.55865679999999</v>
      </c>
      <c r="G246" t="inlineStr">
        <is>
          <t>OSM way/174697782 'West Brunswick Substation' [Georgia Power]</t>
        </is>
      </c>
      <c r="H246" t="n">
        <v>100</v>
      </c>
      <c r="I246" t="b">
        <v>1</v>
      </c>
      <c r="J246" t="n">
        <v>50</v>
      </c>
      <c r="L246" t="inlineStr"/>
    </row>
    <row r="247">
      <c r="A247" t="inlineStr">
        <is>
          <t>GPC_91</t>
        </is>
      </c>
      <c r="B247" t="inlineStr">
        <is>
          <t>NORCROSS - NORTH DRUID HILLS 115KV REBUILD</t>
        </is>
      </c>
      <c r="C247" t="inlineStr">
        <is>
          <t>NORCROSS</t>
        </is>
      </c>
      <c r="D247" s="2" t="inlineStr">
        <is>
          <t>confirmed</t>
        </is>
      </c>
      <c r="E247" t="n">
        <v>33.9325571</v>
      </c>
      <c r="F247" t="n">
        <v>-84.2134303</v>
      </c>
      <c r="G247" t="inlineStr">
        <is>
          <t>OSM way/159758307 'Norcross Substation' [Georgia Power]</t>
        </is>
      </c>
      <c r="H247" t="n">
        <v>100</v>
      </c>
      <c r="I247" t="b">
        <v>1</v>
      </c>
      <c r="J247" t="n">
        <v>0</v>
      </c>
      <c r="L247" t="inlineStr"/>
    </row>
    <row r="248">
      <c r="A248" t="inlineStr">
        <is>
          <t>GPC_91</t>
        </is>
      </c>
      <c r="B248" t="inlineStr">
        <is>
          <t>NORCROSS - NORTH DRUID HILLS 115KV REBUILD</t>
        </is>
      </c>
      <c r="C248" t="inlineStr">
        <is>
          <t>NORTH DRUID HILLS</t>
        </is>
      </c>
      <c r="D248" s="4" t="inlineStr">
        <is>
          <t>low_confidence</t>
        </is>
      </c>
      <c r="E248" t="n">
        <v>33.8167711</v>
      </c>
      <c r="F248" t="n">
        <v>-84.3132574</v>
      </c>
      <c r="G248" t="inlineStr">
        <is>
          <t>Nominatim place: North Druid Hills, DeKalb County, Georgia, 30329, United States</t>
        </is>
      </c>
      <c r="H248" t="n">
        <v>100</v>
      </c>
      <c r="J248" t="n">
        <v>15.8</v>
      </c>
      <c r="L248" t="inlineStr">
        <is>
          <t>no substation in OSM; using the centroid of the town it is named after | low confidence: town centroid, not the substation itself</t>
        </is>
      </c>
    </row>
    <row r="249">
      <c r="A249" t="inlineStr">
        <is>
          <t>GPC_92</t>
        </is>
      </c>
      <c r="B249" t="inlineStr">
        <is>
          <t>SAV: BOULEVARD - MAGNOLIA 115 KV LINE REBUILD</t>
        </is>
      </c>
      <c r="C249" t="inlineStr">
        <is>
          <t>BOULEVARD</t>
        </is>
      </c>
      <c r="D249" s="2" t="inlineStr">
        <is>
          <t>confirmed</t>
        </is>
      </c>
      <c r="E249" t="n">
        <v>32.0412308</v>
      </c>
      <c r="F249" t="n">
        <v>-81.1444637</v>
      </c>
      <c r="G249" t="inlineStr">
        <is>
          <t>OSM way/381797798 'Boulevard Substation' [Georgia Power]</t>
        </is>
      </c>
      <c r="H249" t="n">
        <v>100</v>
      </c>
      <c r="I249" t="b">
        <v>1</v>
      </c>
      <c r="J249" t="n">
        <v>4.1</v>
      </c>
      <c r="L249" t="inlineStr"/>
    </row>
    <row r="250">
      <c r="A250" t="inlineStr">
        <is>
          <t>GPC_92</t>
        </is>
      </c>
      <c r="B250" t="inlineStr">
        <is>
          <t>SAV: BOULEVARD - MAGNOLIA 115 KV LINE REBUILD</t>
        </is>
      </c>
      <c r="C250" t="inlineStr">
        <is>
          <t>MAGNOLIA</t>
        </is>
      </c>
      <c r="D250" s="2" t="inlineStr">
        <is>
          <t>confirmed</t>
        </is>
      </c>
      <c r="E250" t="n">
        <v>32.0226869</v>
      </c>
      <c r="F250" t="n">
        <v>-81.0861807</v>
      </c>
      <c r="G250" t="inlineStr">
        <is>
          <t>OSM way/121857248 'Magnolia Substation' [Georgia Power]</t>
        </is>
      </c>
      <c r="H250" t="n">
        <v>100</v>
      </c>
      <c r="I250" t="b">
        <v>1</v>
      </c>
      <c r="J250" t="n">
        <v>9.699999999999999</v>
      </c>
      <c r="L250" t="inlineStr"/>
    </row>
    <row r="251">
      <c r="A251" t="inlineStr">
        <is>
          <t>GPC_93</t>
        </is>
      </c>
      <c r="B251" t="inlineStr">
        <is>
          <t>SAV: DEAN FOREST - LITTLE OGEECHEE 230 KV REBUILD</t>
        </is>
      </c>
      <c r="C251" t="inlineStr">
        <is>
          <t>DEAN FOREST</t>
        </is>
      </c>
      <c r="D251" s="2" t="inlineStr">
        <is>
          <t>confirmed</t>
        </is>
      </c>
      <c r="E251" t="n">
        <v>32.0835097</v>
      </c>
      <c r="F251" t="n">
        <v>-81.18872229999999</v>
      </c>
      <c r="G251" t="inlineStr">
        <is>
          <t>OSM way/121674829 'Dean Forest Substation' [Georgia Power]</t>
        </is>
      </c>
      <c r="H251" t="n">
        <v>100</v>
      </c>
      <c r="I251" t="b">
        <v>1</v>
      </c>
      <c r="J251" t="n">
        <v>2.3</v>
      </c>
      <c r="L251" t="inlineStr"/>
    </row>
    <row r="252">
      <c r="A252" t="inlineStr">
        <is>
          <t>GPC_93</t>
        </is>
      </c>
      <c r="B252" t="inlineStr">
        <is>
          <t>SAV: DEAN FOREST - LITTLE OGEECHEE 230 KV REBUILD</t>
        </is>
      </c>
      <c r="C252" t="inlineStr">
        <is>
          <t>LITTLE OGEECHEE</t>
        </is>
      </c>
      <c r="D252" s="2" t="inlineStr">
        <is>
          <t>confirmed</t>
        </is>
      </c>
      <c r="E252" t="n">
        <v>32.0067859</v>
      </c>
      <c r="F252" t="n">
        <v>-81.2531513</v>
      </c>
      <c r="G252" t="inlineStr">
        <is>
          <t>OSM way/121701191 'Little Ogeechee Substation' [Georgia Power]</t>
        </is>
      </c>
      <c r="H252" t="n">
        <v>100</v>
      </c>
      <c r="I252" t="b">
        <v>1</v>
      </c>
      <c r="J252" t="n">
        <v>9.9</v>
      </c>
      <c r="L252" t="inlineStr"/>
    </row>
    <row r="253">
      <c r="A253" t="inlineStr">
        <is>
          <t>GPC_94</t>
        </is>
      </c>
      <c r="B253" t="inlineStr">
        <is>
          <t>SAV: RICE HOPE NEW AUTO TRANSFORMER</t>
        </is>
      </c>
      <c r="C253" t="inlineStr">
        <is>
          <t>RICE HOPE NEW AUTO TRANSFORMER</t>
        </is>
      </c>
      <c r="D253" s="3" t="inlineStr">
        <is>
          <t>unlocated</t>
        </is>
      </c>
      <c r="L253" t="inlineStr">
        <is>
          <t>no OSM substation or Nominatim place matched</t>
        </is>
      </c>
    </row>
    <row r="254">
      <c r="A254" t="inlineStr">
        <is>
          <t>GPC_95</t>
        </is>
      </c>
      <c r="B254" t="inlineStr">
        <is>
          <t>SOUTH BAINBRIDGE - SINAI (FPL) 115KV LINE RECONDUCTOR</t>
        </is>
      </c>
      <c r="C254" t="inlineStr">
        <is>
          <t>SOUTH BAINBRIDGE</t>
        </is>
      </c>
      <c r="D254" s="2" t="inlineStr">
        <is>
          <t>confirmed</t>
        </is>
      </c>
      <c r="E254" t="n">
        <v>30.8396079</v>
      </c>
      <c r="F254" t="n">
        <v>-84.4889211</v>
      </c>
      <c r="G254" t="inlineStr">
        <is>
          <t>OSM way/165831924 'South Bainbridge Substation' [Georgia Power]</t>
        </is>
      </c>
      <c r="H254" t="n">
        <v>100</v>
      </c>
      <c r="I254" t="b">
        <v>1</v>
      </c>
      <c r="J254" t="n">
        <v>60.4</v>
      </c>
      <c r="L254" t="inlineStr"/>
    </row>
    <row r="255">
      <c r="A255" t="inlineStr">
        <is>
          <t>GPC_95</t>
        </is>
      </c>
      <c r="B255" t="inlineStr">
        <is>
          <t>SOUTH BAINBRIDGE - SINAI (FPL) 115KV LINE RECONDUCTOR</t>
        </is>
      </c>
      <c r="C255" t="inlineStr">
        <is>
          <t>SINAI (FPL)</t>
        </is>
      </c>
      <c r="D255" s="3" t="inlineStr">
        <is>
          <t>unlocated</t>
        </is>
      </c>
      <c r="L255" t="inlineStr">
        <is>
          <t>no OSM substation or Nominatim place matched</t>
        </is>
      </c>
    </row>
    <row r="256">
      <c r="A256" t="inlineStr">
        <is>
          <t>GPC_96</t>
        </is>
      </c>
      <c r="B256" t="inlineStr">
        <is>
          <t>BAY CREEK - CONYERS 230KV REBUILD</t>
        </is>
      </c>
      <c r="C256" t="inlineStr">
        <is>
          <t>BAY CREEK</t>
        </is>
      </c>
      <c r="D256" s="2" t="inlineStr">
        <is>
          <t>confirmed</t>
        </is>
      </c>
      <c r="E256" t="n">
        <v>33.8681196</v>
      </c>
      <c r="F256" t="n">
        <v>-83.8823506</v>
      </c>
      <c r="G256" t="inlineStr">
        <is>
          <t>OSM way/175826909 'Bay Creek Substation' [Georgia Power]</t>
        </is>
      </c>
      <c r="H256" t="n">
        <v>100</v>
      </c>
      <c r="I256" t="b">
        <v>1</v>
      </c>
      <c r="J256" t="n">
        <v>31.4</v>
      </c>
      <c r="L256" t="inlineStr"/>
    </row>
    <row r="257">
      <c r="A257" t="inlineStr">
        <is>
          <t>GPC_96</t>
        </is>
      </c>
      <c r="B257" t="inlineStr">
        <is>
          <t>BAY CREEK - CONYERS 230KV REBUILD</t>
        </is>
      </c>
      <c r="C257" t="inlineStr">
        <is>
          <t>CONYERS</t>
        </is>
      </c>
      <c r="D257" s="4" t="inlineStr">
        <is>
          <t>low_confidence</t>
        </is>
      </c>
      <c r="E257" t="n">
        <v>33.6676103</v>
      </c>
      <c r="F257" t="n">
        <v>-84.01769040000001</v>
      </c>
      <c r="G257" t="inlineStr">
        <is>
          <t>Nominatim place: Conyers, Rockdale County, Georgia, United States</t>
        </is>
      </c>
      <c r="H257" t="n">
        <v>100</v>
      </c>
      <c r="J257" t="n">
        <v>34.6</v>
      </c>
      <c r="L257" t="inlineStr">
        <is>
          <t>no substation in OSM; using the centroid of the town it is named after | low confidence: town centroid, not the substation itself</t>
        </is>
      </c>
    </row>
    <row r="258">
      <c r="A258" t="inlineStr">
        <is>
          <t>GPC_97</t>
        </is>
      </c>
      <c r="B258" t="inlineStr">
        <is>
          <t>ANNISTON - HAMMOND 230KV LINE</t>
        </is>
      </c>
      <c r="C258" t="inlineStr">
        <is>
          <t>ANNISTON</t>
        </is>
      </c>
      <c r="D258" s="3" t="inlineStr">
        <is>
          <t>unlocated</t>
        </is>
      </c>
      <c r="L258" t="inlineStr">
        <is>
          <t>no OSM substation or Nominatim place matched</t>
        </is>
      </c>
    </row>
    <row r="259">
      <c r="A259" t="inlineStr">
        <is>
          <t>GPC_97</t>
        </is>
      </c>
      <c r="B259" t="inlineStr">
        <is>
          <t>ANNISTON - HAMMOND 230KV LINE</t>
        </is>
      </c>
      <c r="C259" t="inlineStr">
        <is>
          <t>HAMMOND</t>
        </is>
      </c>
      <c r="D259" s="4" t="inlineStr">
        <is>
          <t>low_confidence</t>
        </is>
      </c>
      <c r="E259" t="n">
        <v>34.2512064</v>
      </c>
      <c r="F259" t="n">
        <v>-85.34558</v>
      </c>
      <c r="G259" t="inlineStr">
        <is>
          <t>OSM way/186429831 'Hammod Substation' [Georgia Power]</t>
        </is>
      </c>
      <c r="H259" t="n">
        <v>92</v>
      </c>
      <c r="I259" t="b">
        <v>1</v>
      </c>
      <c r="J259" t="n">
        <v>79.8</v>
      </c>
      <c r="L259" t="inlineStr">
        <is>
          <t>low confidence: fuzzy name match (92)</t>
        </is>
      </c>
    </row>
    <row r="260">
      <c r="A260" t="inlineStr">
        <is>
          <t>GPC_98</t>
        </is>
      </c>
      <c r="B260" t="inlineStr">
        <is>
          <t>ATKINSON - NORTHSIDE DRIVE 115KV REBUILD</t>
        </is>
      </c>
      <c r="C260" t="inlineStr">
        <is>
          <t>ATKINSON</t>
        </is>
      </c>
      <c r="D260" s="3" t="inlineStr">
        <is>
          <t>unlocated</t>
        </is>
      </c>
      <c r="L260" t="inlineStr">
        <is>
          <t>no OSM substation or Nominatim place matched</t>
        </is>
      </c>
    </row>
    <row r="261">
      <c r="A261" t="inlineStr">
        <is>
          <t>GPC_98</t>
        </is>
      </c>
      <c r="B261" t="inlineStr">
        <is>
          <t>ATKINSON - NORTHSIDE DRIVE 115KV REBUILD</t>
        </is>
      </c>
      <c r="C261" t="inlineStr">
        <is>
          <t>NORTHSIDE DRIVE</t>
        </is>
      </c>
      <c r="D261" s="3" t="inlineStr">
        <is>
          <t>unlocated</t>
        </is>
      </c>
      <c r="L261" t="inlineStr">
        <is>
          <t>no OSM substation or Nominatim place matched</t>
        </is>
      </c>
    </row>
    <row r="262">
      <c r="A262" t="inlineStr">
        <is>
          <t>GPC_99</t>
        </is>
      </c>
      <c r="B262" t="inlineStr">
        <is>
          <t>ATKINSON - NORTHWEST 115KV REBUILD</t>
        </is>
      </c>
      <c r="C262" t="inlineStr">
        <is>
          <t>ATKINSON</t>
        </is>
      </c>
      <c r="D262" s="3" t="inlineStr">
        <is>
          <t>unlocated</t>
        </is>
      </c>
      <c r="L262" t="inlineStr">
        <is>
          <t>no OSM substation or Nominatim place matched</t>
        </is>
      </c>
    </row>
    <row r="263">
      <c r="A263" t="inlineStr">
        <is>
          <t>GPC_99</t>
        </is>
      </c>
      <c r="B263" t="inlineStr">
        <is>
          <t>ATKINSON - NORTHWEST 115KV REBUILD</t>
        </is>
      </c>
      <c r="C263" t="inlineStr">
        <is>
          <t>NORTHWEST</t>
        </is>
      </c>
      <c r="D263" s="3" t="inlineStr">
        <is>
          <t>unlocated</t>
        </is>
      </c>
      <c r="L263" t="inlineStr">
        <is>
          <t>no OSM substation or Nominatim place matched</t>
        </is>
      </c>
    </row>
    <row r="264">
      <c r="A264" t="inlineStr">
        <is>
          <t>GPC_100</t>
        </is>
      </c>
      <c r="B264" t="inlineStr">
        <is>
          <t>CC - NORTH GEORGIA DATA NETWORK UPGRADES</t>
        </is>
      </c>
      <c r="C264" t="inlineStr">
        <is>
          <t>CC</t>
        </is>
      </c>
      <c r="D264" t="inlineStr">
        <is>
          <t>not_a_place</t>
        </is>
      </c>
      <c r="L264" t="inlineStr">
        <is>
          <t>not a place name (customer-connection / program label) -- skipped</t>
        </is>
      </c>
    </row>
    <row r="265">
      <c r="A265" t="inlineStr">
        <is>
          <t>GPC_100</t>
        </is>
      </c>
      <c r="B265" t="inlineStr">
        <is>
          <t>CC - NORTH GEORGIA DATA NETWORK UPGRADES</t>
        </is>
      </c>
      <c r="C265" t="inlineStr">
        <is>
          <t>NORTH GEORGIA DATA NETWORK UPGRADES</t>
        </is>
      </c>
      <c r="D265" t="inlineStr">
        <is>
          <t>not_a_place</t>
        </is>
      </c>
      <c r="L265" t="inlineStr">
        <is>
          <t>not a place name (customer-connection / program label) -- skipped</t>
        </is>
      </c>
    </row>
    <row r="266">
      <c r="A266" t="inlineStr">
        <is>
          <t>GPC_101</t>
        </is>
      </c>
      <c r="B266" t="inlineStr">
        <is>
          <t>CORNELIA - TALLULAH LODGE 115KV REBUILD</t>
        </is>
      </c>
      <c r="C266" t="inlineStr">
        <is>
          <t>CORNELIA</t>
        </is>
      </c>
      <c r="D266" s="4" t="inlineStr">
        <is>
          <t>low_confidence</t>
        </is>
      </c>
      <c r="E266" t="n">
        <v>34.5114883</v>
      </c>
      <c r="F266" t="n">
        <v>-83.5271166</v>
      </c>
      <c r="G266" t="inlineStr">
        <is>
          <t>Nominatim place: Cornelia, Habersham County, Georgia, United States</t>
        </is>
      </c>
      <c r="H266" t="n">
        <v>100</v>
      </c>
      <c r="J266" t="n">
        <v>30.9</v>
      </c>
      <c r="L266" t="inlineStr">
        <is>
          <t>no substation in OSM; using the centroid of the town it is named after | low confidence: town centroid, not the substation itself</t>
        </is>
      </c>
    </row>
    <row r="267">
      <c r="A267" t="inlineStr">
        <is>
          <t>GPC_101</t>
        </is>
      </c>
      <c r="B267" t="inlineStr">
        <is>
          <t>CORNELIA - TALLULAH LODGE 115KV REBUILD</t>
        </is>
      </c>
      <c r="C267" t="inlineStr">
        <is>
          <t>TALLULAH LODGE</t>
        </is>
      </c>
      <c r="D267" s="3" t="inlineStr">
        <is>
          <t>unlocated</t>
        </is>
      </c>
      <c r="L267" t="inlineStr">
        <is>
          <t>no OSM substation or Nominatim place matched</t>
        </is>
      </c>
    </row>
    <row r="268">
      <c r="A268" t="inlineStr">
        <is>
          <t>GPC_102</t>
        </is>
      </c>
      <c r="B268" t="inlineStr">
        <is>
          <t>EAST POINT - TRIBUTARY 230KV REBUILD</t>
        </is>
      </c>
      <c r="C268" t="inlineStr">
        <is>
          <t>EAST POINT</t>
        </is>
      </c>
      <c r="D268" s="2" t="inlineStr">
        <is>
          <t>confirmed</t>
        </is>
      </c>
      <c r="E268" t="n">
        <v>33.6763499</v>
      </c>
      <c r="F268" t="n">
        <v>-84.4629659</v>
      </c>
      <c r="G268" t="inlineStr">
        <is>
          <t>OSM relation/14128477 'East Point Primary Substation' [Georgia Power]</t>
        </is>
      </c>
      <c r="H268" t="n">
        <v>100</v>
      </c>
      <c r="I268" t="b">
        <v>1</v>
      </c>
      <c r="J268" t="n">
        <v>45.7</v>
      </c>
      <c r="L268" t="inlineStr"/>
    </row>
    <row r="269">
      <c r="A269" t="inlineStr">
        <is>
          <t>GPC_102</t>
        </is>
      </c>
      <c r="B269" t="inlineStr">
        <is>
          <t>EAST POINT - TRIBUTARY 230KV REBUILD</t>
        </is>
      </c>
      <c r="C269" t="inlineStr">
        <is>
          <t>TRIBUTARY</t>
        </is>
      </c>
      <c r="D269" s="4" t="inlineStr">
        <is>
          <t>low_confidence</t>
        </is>
      </c>
      <c r="E269" t="n">
        <v>33.7129313</v>
      </c>
      <c r="F269" t="n">
        <v>-84.6426467</v>
      </c>
      <c r="G269" t="inlineStr">
        <is>
          <t>Nominatim place: Tributary, Douglasville, Douglas County, Georgia, United States</t>
        </is>
      </c>
      <c r="H269" t="n">
        <v>100</v>
      </c>
      <c r="J269" t="n">
        <v>43.2</v>
      </c>
      <c r="L269" t="inlineStr">
        <is>
          <t>no substation in OSM; using the centroid of the town it is named after | low confidence: town centroid, not the substation itself</t>
        </is>
      </c>
    </row>
    <row r="270">
      <c r="A270" t="inlineStr">
        <is>
          <t>GPC_103</t>
        </is>
      </c>
      <c r="B270" t="inlineStr">
        <is>
          <t>EAST POINT - UNION CITY 230KV BLACK LINE RECONDUCTOR</t>
        </is>
      </c>
      <c r="C270" t="inlineStr">
        <is>
          <t>EAST POINT</t>
        </is>
      </c>
      <c r="D270" s="2" t="inlineStr">
        <is>
          <t>confirmed</t>
        </is>
      </c>
      <c r="E270" t="n">
        <v>33.6763499</v>
      </c>
      <c r="F270" t="n">
        <v>-84.4629659</v>
      </c>
      <c r="G270" t="inlineStr">
        <is>
          <t>OSM relation/14128477 'East Point Primary Substation' [Georgia Power]</t>
        </is>
      </c>
      <c r="H270" t="n">
        <v>100</v>
      </c>
      <c r="I270" t="b">
        <v>1</v>
      </c>
      <c r="J270" t="n">
        <v>7.8</v>
      </c>
      <c r="L270" t="inlineStr"/>
    </row>
    <row r="271">
      <c r="A271" t="inlineStr">
        <is>
          <t>GPC_103</t>
        </is>
      </c>
      <c r="B271" t="inlineStr">
        <is>
          <t>EAST POINT - UNION CITY 230KV BLACK LINE RECONDUCTOR</t>
        </is>
      </c>
      <c r="C271" t="inlineStr">
        <is>
          <t>UNION CITY</t>
        </is>
      </c>
      <c r="D271" s="4" t="inlineStr">
        <is>
          <t>low_confidence</t>
        </is>
      </c>
      <c r="E271" t="n">
        <v>33.5870558</v>
      </c>
      <c r="F271" t="n">
        <v>-84.5424299</v>
      </c>
      <c r="G271" t="inlineStr">
        <is>
          <t>Nominatim place: Union City, Fulton County, Georgia, United States</t>
        </is>
      </c>
      <c r="H271" t="n">
        <v>100</v>
      </c>
      <c r="J271" t="n">
        <v>7.7</v>
      </c>
      <c r="L271" t="inlineStr">
        <is>
          <t>no substation in OSM; using the centroid of the town it is named after | low confidence: town centroid, not the substation itself</t>
        </is>
      </c>
    </row>
    <row r="272">
      <c r="A272" t="inlineStr">
        <is>
          <t>GPC_104</t>
        </is>
      </c>
      <c r="B272" t="inlineStr">
        <is>
          <t>ECHECONNEE-WELLSTON 115KV LINE REBUILD</t>
        </is>
      </c>
      <c r="C272" t="inlineStr">
        <is>
          <t>ECHECONNEE</t>
        </is>
      </c>
      <c r="D272" s="4" t="inlineStr">
        <is>
          <t>low_confidence</t>
        </is>
      </c>
      <c r="E272" t="n">
        <v>32.6851436</v>
      </c>
      <c r="F272" t="n">
        <v>-83.700462</v>
      </c>
      <c r="G272" t="inlineStr">
        <is>
          <t>Nominatim place: Echeconnee, Houston County, Georgia, 31216, United States</t>
        </is>
      </c>
      <c r="H272" t="n">
        <v>100</v>
      </c>
      <c r="J272" t="n">
        <v>42</v>
      </c>
      <c r="L272" t="inlineStr">
        <is>
          <t>no substation in OSM; using the centroid of the town it is named after | low confidence: town centroid, not the substation itself</t>
        </is>
      </c>
    </row>
    <row r="273">
      <c r="A273" t="inlineStr">
        <is>
          <t>GPC_104</t>
        </is>
      </c>
      <c r="B273" t="inlineStr">
        <is>
          <t>ECHECONNEE-WELLSTON 115KV LINE REBUILD</t>
        </is>
      </c>
      <c r="C273" t="inlineStr">
        <is>
          <t>WELLSTON</t>
        </is>
      </c>
      <c r="D273" s="3" t="inlineStr">
        <is>
          <t>unlocated</t>
        </is>
      </c>
      <c r="L273" t="inlineStr">
        <is>
          <t>no OSM substation or Nominatim place matched</t>
        </is>
      </c>
    </row>
    <row r="274">
      <c r="A274" t="inlineStr">
        <is>
          <t>GPC_105</t>
        </is>
      </c>
      <c r="B274" t="inlineStr">
        <is>
          <t>FARLEY (APC)-TAZEWELL 500KV</t>
        </is>
      </c>
      <c r="C274" t="inlineStr">
        <is>
          <t>FARLEY (APC)</t>
        </is>
      </c>
      <c r="D274" s="3" t="inlineStr">
        <is>
          <t>unlocated</t>
        </is>
      </c>
      <c r="L274" t="inlineStr">
        <is>
          <t>no OSM substation or Nominatim place matched</t>
        </is>
      </c>
    </row>
    <row r="275">
      <c r="A275" t="inlineStr">
        <is>
          <t>GPC_105</t>
        </is>
      </c>
      <c r="B275" t="inlineStr">
        <is>
          <t>FARLEY (APC)-TAZEWELL 500KV</t>
        </is>
      </c>
      <c r="C275" t="inlineStr">
        <is>
          <t>TAZEWELL</t>
        </is>
      </c>
      <c r="D275" s="5" t="inlineStr">
        <is>
          <t>rejected</t>
        </is>
      </c>
      <c r="G275" t="inlineStr">
        <is>
          <t>Nominatim place: Tazewell, Marion County, Georgia, United States</t>
        </is>
      </c>
      <c r="H275" t="n">
        <v>100</v>
      </c>
      <c r="J275" t="n">
        <v>175.5</v>
      </c>
      <c r="L275" t="inlineStr">
        <is>
          <t>no substation in OSM; using the centroid of the town it is named after | REJECTED Nominatim place: Tazewell, Marion County, Georgia, United States: 176 km from the zone 216 centroid (zone radius 142 km) -- same name, wrong part of the state</t>
        </is>
      </c>
    </row>
    <row r="276">
      <c r="A276" t="inlineStr">
        <is>
          <t>GPC_106</t>
        </is>
      </c>
      <c r="B276" t="inlineStr">
        <is>
          <t>GAINESVILLE #2 - MCEVER ROAD 115 KV REBUILD</t>
        </is>
      </c>
      <c r="C276" t="inlineStr">
        <is>
          <t>GAINESVILLE #2</t>
        </is>
      </c>
      <c r="D276" s="2" t="inlineStr">
        <is>
          <t>confirmed</t>
        </is>
      </c>
      <c r="E276" t="n">
        <v>34.263022</v>
      </c>
      <c r="F276" t="n">
        <v>-83.8096728</v>
      </c>
      <c r="G276" t="inlineStr">
        <is>
          <t>OSM way/179716524 'Gainesville Substation #2' [Georgia Power]</t>
        </is>
      </c>
      <c r="H276" t="n">
        <v>100</v>
      </c>
      <c r="I276" t="b">
        <v>1</v>
      </c>
      <c r="J276" t="n">
        <v>10.2</v>
      </c>
      <c r="L276" t="inlineStr">
        <is>
          <t>2 OSM substations named like 'GAINESVILLE #2' (34.26,-83.81, 34.34,-83.84); picked the one nearest the zone 212</t>
        </is>
      </c>
    </row>
    <row r="277">
      <c r="A277" t="inlineStr">
        <is>
          <t>GPC_106</t>
        </is>
      </c>
      <c r="B277" t="inlineStr">
        <is>
          <t>GAINESVILLE #2 - MCEVER ROAD 115 KV REBUILD</t>
        </is>
      </c>
      <c r="C277" t="inlineStr">
        <is>
          <t>MCEVER ROAD</t>
        </is>
      </c>
      <c r="D277" s="2" t="inlineStr">
        <is>
          <t>confirmed</t>
        </is>
      </c>
      <c r="E277" t="n">
        <v>34.2728832</v>
      </c>
      <c r="F277" t="n">
        <v>-83.8738012</v>
      </c>
      <c r="G277" t="inlineStr">
        <is>
          <t>OSM way/1037359821 'McEver Road Substation' [Georgia Power]</t>
        </is>
      </c>
      <c r="H277" t="n">
        <v>100</v>
      </c>
      <c r="I277" t="b">
        <v>1</v>
      </c>
      <c r="J277" t="n">
        <v>16.1</v>
      </c>
      <c r="L277" t="inlineStr"/>
    </row>
    <row r="278">
      <c r="A278" t="inlineStr">
        <is>
          <t>GPC_107</t>
        </is>
      </c>
      <c r="B278" t="inlineStr">
        <is>
          <t>GLENWOOD SPRINGS - LAKE OCONEE 115KV LINE REBUILD</t>
        </is>
      </c>
      <c r="C278" t="inlineStr">
        <is>
          <t>GLENWOOD SPRINGS</t>
        </is>
      </c>
      <c r="D278" s="3" t="inlineStr">
        <is>
          <t>unlocated</t>
        </is>
      </c>
      <c r="L278" t="inlineStr">
        <is>
          <t>no OSM substation or Nominatim place matched</t>
        </is>
      </c>
    </row>
    <row r="279">
      <c r="A279" t="inlineStr">
        <is>
          <t>GPC_107</t>
        </is>
      </c>
      <c r="B279" t="inlineStr">
        <is>
          <t>GLENWOOD SPRINGS - LAKE OCONEE 115KV LINE REBUILD</t>
        </is>
      </c>
      <c r="C279" t="inlineStr">
        <is>
          <t>LAKE OCONEE</t>
        </is>
      </c>
      <c r="D279" s="2" t="inlineStr">
        <is>
          <t>confirmed</t>
        </is>
      </c>
      <c r="E279" t="n">
        <v>33.4595297</v>
      </c>
      <c r="F279" t="n">
        <v>-83.247451</v>
      </c>
      <c r="G279" t="inlineStr">
        <is>
          <t>OSM way/1054868572 'Lake Oconee Substation' [no operator tag]</t>
        </is>
      </c>
      <c r="H279" t="n">
        <v>100</v>
      </c>
      <c r="I279" t="b">
        <v>0</v>
      </c>
      <c r="J279" t="n">
        <v>64.5</v>
      </c>
      <c r="L279" t="inlineStr">
        <is>
          <t>confirmed: exact name, only such substation in the state; OSM has no operator tag</t>
        </is>
      </c>
    </row>
    <row r="280">
      <c r="A280" t="inlineStr">
        <is>
          <t>GPC_108</t>
        </is>
      </c>
      <c r="B280" t="inlineStr">
        <is>
          <t>GOAT ROCK REACTORS INSTALLATION</t>
        </is>
      </c>
      <c r="C280" t="inlineStr">
        <is>
          <t>GOAT ROCK REACTORS INSTALLATION</t>
        </is>
      </c>
      <c r="D280" s="2" t="inlineStr">
        <is>
          <t>confirmed</t>
        </is>
      </c>
      <c r="E280" t="n">
        <v>32.6082662</v>
      </c>
      <c r="F280" t="n">
        <v>-85.0824629</v>
      </c>
      <c r="G280" t="inlineStr">
        <is>
          <t>OSM way/171967073 'Goat Rock Dam Substation' [no operator tag]</t>
        </is>
      </c>
      <c r="H280" t="n">
        <v>100</v>
      </c>
      <c r="I280" t="b">
        <v>0</v>
      </c>
      <c r="L280" t="inlineStr">
        <is>
          <t>confirmed: exact name, only such substation in the state; OSM has no operator tag</t>
        </is>
      </c>
    </row>
    <row r="281">
      <c r="A281" t="inlineStr">
        <is>
          <t>GPC_109</t>
        </is>
      </c>
      <c r="B281" t="inlineStr">
        <is>
          <t>GOLDENS CREEK - WARRENTON PRIMARY 230KV REBUILD</t>
        </is>
      </c>
      <c r="C281" t="inlineStr">
        <is>
          <t>GOLDENS CREEK</t>
        </is>
      </c>
      <c r="D281" s="3" t="inlineStr">
        <is>
          <t>unlocated</t>
        </is>
      </c>
      <c r="L281" t="inlineStr">
        <is>
          <t>no OSM substation or Nominatim place matched</t>
        </is>
      </c>
    </row>
    <row r="282">
      <c r="A282" t="inlineStr">
        <is>
          <t>GPC_109</t>
        </is>
      </c>
      <c r="B282" t="inlineStr">
        <is>
          <t>GOLDENS CREEK - WARRENTON PRIMARY 230KV REBUILD</t>
        </is>
      </c>
      <c r="C282" t="inlineStr">
        <is>
          <t>WARRENTON PRIMARY</t>
        </is>
      </c>
      <c r="D282" s="2" t="inlineStr">
        <is>
          <t>confirmed</t>
        </is>
      </c>
      <c r="E282" t="n">
        <v>33.4064479</v>
      </c>
      <c r="F282" t="n">
        <v>-82.6708417</v>
      </c>
      <c r="G282" t="inlineStr">
        <is>
          <t>OSM way/1046106634 'Warrenton Substation' [Georgia Power]</t>
        </is>
      </c>
      <c r="H282" t="n">
        <v>100</v>
      </c>
      <c r="I282" t="b">
        <v>1</v>
      </c>
      <c r="J282" t="n">
        <v>49</v>
      </c>
      <c r="L282" t="inlineStr">
        <is>
          <t>2 OSM substations named like 'WARRENTON PRIMARY' (33.38,-82.69, 33.41,-82.67); picked the one nearest the zone 215</t>
        </is>
      </c>
    </row>
    <row r="283">
      <c r="A283" t="inlineStr">
        <is>
          <t>GPC_110</t>
        </is>
      </c>
      <c r="B283" t="inlineStr">
        <is>
          <t>GORDON-SANDERSVILLE #1 115KV LINE REBUILD (DEEPSTEP-SAND #6)</t>
        </is>
      </c>
      <c r="C283" t="inlineStr">
        <is>
          <t>GORDON</t>
        </is>
      </c>
      <c r="D283" s="2" t="inlineStr">
        <is>
          <t>confirmed</t>
        </is>
      </c>
      <c r="E283" t="n">
        <v>32.8824706</v>
      </c>
      <c r="F283" t="n">
        <v>-83.31691410000001</v>
      </c>
      <c r="G283" t="inlineStr">
        <is>
          <t>OSM way/170991651 'Gordon Substation' [Georgia Power]</t>
        </is>
      </c>
      <c r="H283" t="n">
        <v>100</v>
      </c>
      <c r="I283" t="b">
        <v>1</v>
      </c>
      <c r="J283" t="n">
        <v>0</v>
      </c>
      <c r="L283" t="inlineStr"/>
    </row>
    <row r="284">
      <c r="A284" t="inlineStr">
        <is>
          <t>GPC_110</t>
        </is>
      </c>
      <c r="B284" t="inlineStr">
        <is>
          <t>GORDON-SANDERSVILLE #1 115KV LINE REBUILD (DEEPSTEP-SAND #6)</t>
        </is>
      </c>
      <c r="C284" t="inlineStr">
        <is>
          <t>SANDERSVILLE #1</t>
        </is>
      </c>
      <c r="D284" s="4" t="inlineStr">
        <is>
          <t>low_confidence</t>
        </is>
      </c>
      <c r="E284" t="n">
        <v>33.0018214</v>
      </c>
      <c r="F284" t="n">
        <v>-82.83272909999999</v>
      </c>
      <c r="G284" t="inlineStr">
        <is>
          <t>OSM way/484518626 'Sandersville Substation #6' [no operator tag]</t>
        </is>
      </c>
      <c r="H284" t="n">
        <v>100</v>
      </c>
      <c r="I284" t="b">
        <v>0</v>
      </c>
      <c r="J284" t="n">
        <v>47.1</v>
      </c>
      <c r="L284" t="inlineStr">
        <is>
          <t>2 OSM substations named like 'SANDERSVILLE #1' (33.00,-82.80, 33.00,-82.83); picked the one nearest the zone 214 | low confidence: OSM operator tag missing or not this utility</t>
        </is>
      </c>
    </row>
    <row r="285">
      <c r="A285" t="inlineStr">
        <is>
          <t>GPC_111</t>
        </is>
      </c>
      <c r="B285" t="inlineStr">
        <is>
          <t>GOSHEN AREA STRATEGIC SOLUTION</t>
        </is>
      </c>
      <c r="C285" t="inlineStr">
        <is>
          <t>GOSHEN AREA STRATEGIC SOLUTION</t>
        </is>
      </c>
      <c r="D285" s="2" t="inlineStr">
        <is>
          <t>confirmed</t>
        </is>
      </c>
      <c r="E285" t="n">
        <v>33.3197599</v>
      </c>
      <c r="F285" t="n">
        <v>-81.9953118</v>
      </c>
      <c r="G285" t="inlineStr">
        <is>
          <t>OSM way/52019569 'Goshen Substation' [Georgia Power]</t>
        </is>
      </c>
      <c r="H285" t="n">
        <v>100</v>
      </c>
      <c r="I285" t="b">
        <v>1</v>
      </c>
      <c r="J285" t="n">
        <v>29.7</v>
      </c>
      <c r="L285" t="inlineStr">
        <is>
          <t>2 OSM substations named like 'GOSHEN AREA STRATEGIC SOLUTION' (33.32,-82.00, 32.25,-81.21); picked the one nearest the zone 215</t>
        </is>
      </c>
    </row>
    <row r="286">
      <c r="A286" t="inlineStr">
        <is>
          <t>GPC_112</t>
        </is>
      </c>
      <c r="B286" t="inlineStr">
        <is>
          <t>JEFFERSON ROAD - WINDER PRIMARY 115KV REBUILD</t>
        </is>
      </c>
      <c r="C286" t="inlineStr">
        <is>
          <t>JEFFERSON ROAD</t>
        </is>
      </c>
      <c r="D286" s="4" t="inlineStr">
        <is>
          <t>low_confidence</t>
        </is>
      </c>
      <c r="E286" t="n">
        <v>33.977796</v>
      </c>
      <c r="F286" t="n">
        <v>-83.5794808</v>
      </c>
      <c r="G286" t="inlineStr">
        <is>
          <t>OSM way/1017583912 'Jefferson Rd Substation' [Georgia Power]</t>
        </is>
      </c>
      <c r="H286" t="n">
        <v>92</v>
      </c>
      <c r="I286" t="b">
        <v>1</v>
      </c>
      <c r="J286" t="n">
        <v>34.6</v>
      </c>
      <c r="L286" t="inlineStr">
        <is>
          <t>low confidence: fuzzy name match (92)</t>
        </is>
      </c>
    </row>
    <row r="287">
      <c r="A287" t="inlineStr">
        <is>
          <t>GPC_112</t>
        </is>
      </c>
      <c r="B287" t="inlineStr">
        <is>
          <t>JEFFERSON ROAD - WINDER PRIMARY 115KV REBUILD</t>
        </is>
      </c>
      <c r="C287" t="inlineStr">
        <is>
          <t>WINDER PRIMARY</t>
        </is>
      </c>
      <c r="D287" s="2" t="inlineStr">
        <is>
          <t>confirmed</t>
        </is>
      </c>
      <c r="E287" t="n">
        <v>34.023516</v>
      </c>
      <c r="F287" t="n">
        <v>-83.7578307</v>
      </c>
      <c r="G287" t="inlineStr">
        <is>
          <t>OSM way/171583083 'Winder Substation' [Georgia Power]</t>
        </is>
      </c>
      <c r="H287" t="n">
        <v>100</v>
      </c>
      <c r="I287" t="b">
        <v>1</v>
      </c>
      <c r="J287" t="n">
        <v>28.3</v>
      </c>
      <c r="L287" t="inlineStr">
        <is>
          <t>2 OSM substations named like 'WINDER PRIMARY' (34.00,-83.75, 34.02,-83.76); picked the one nearest the zone 212</t>
        </is>
      </c>
    </row>
    <row r="288">
      <c r="A288" t="inlineStr">
        <is>
          <t>GPC_113</t>
        </is>
      </c>
      <c r="B288" t="inlineStr">
        <is>
          <t>KETTLE CREEK PRIMARY - PINE GROVE PRIMARY 115KV REBUILD</t>
        </is>
      </c>
      <c r="C288" t="inlineStr">
        <is>
          <t>KETTLE CREEK PRIMARY</t>
        </is>
      </c>
      <c r="D288" s="3" t="inlineStr">
        <is>
          <t>unlocated</t>
        </is>
      </c>
      <c r="L288" t="inlineStr">
        <is>
          <t>no OSM substation or Nominatim place matched</t>
        </is>
      </c>
    </row>
    <row r="289">
      <c r="A289" t="inlineStr">
        <is>
          <t>GPC_113</t>
        </is>
      </c>
      <c r="B289" t="inlineStr">
        <is>
          <t>KETTLE CREEK PRIMARY - PINE GROVE PRIMARY 115KV REBUILD</t>
        </is>
      </c>
      <c r="C289" t="inlineStr">
        <is>
          <t>PINE GROVE PRIMARY</t>
        </is>
      </c>
      <c r="D289" s="2" t="inlineStr">
        <is>
          <t>confirmed</t>
        </is>
      </c>
      <c r="E289" t="n">
        <v>30.8816485</v>
      </c>
      <c r="F289" t="n">
        <v>-83.2279869</v>
      </c>
      <c r="G289" t="inlineStr">
        <is>
          <t>OSM way/174399121 'Pine Grove Primary Substation' [Georgia Power]</t>
        </is>
      </c>
      <c r="H289" t="n">
        <v>100</v>
      </c>
      <c r="I289" t="b">
        <v>1</v>
      </c>
      <c r="J289" t="n">
        <v>60.2</v>
      </c>
      <c r="L289" t="inlineStr"/>
    </row>
    <row r="290">
      <c r="A290" t="inlineStr">
        <is>
          <t>GPC_114</t>
        </is>
      </c>
      <c r="B290" t="inlineStr">
        <is>
          <t>NEW CAVENDER DRIVE - TRIBUTARY 230KV LINE</t>
        </is>
      </c>
      <c r="C290" t="inlineStr">
        <is>
          <t>NEW CAVENDER DRIVE</t>
        </is>
      </c>
      <c r="D290" s="3" t="inlineStr">
        <is>
          <t>unlocated</t>
        </is>
      </c>
      <c r="L290" t="inlineStr">
        <is>
          <t>no OSM substation or Nominatim place matched</t>
        </is>
      </c>
    </row>
    <row r="291">
      <c r="A291" t="inlineStr">
        <is>
          <t>GPC_114</t>
        </is>
      </c>
      <c r="B291" t="inlineStr">
        <is>
          <t>NEW CAVENDER DRIVE - TRIBUTARY 230KV LINE</t>
        </is>
      </c>
      <c r="C291" t="inlineStr">
        <is>
          <t>TRIBUTARY</t>
        </is>
      </c>
      <c r="D291" s="4" t="inlineStr">
        <is>
          <t>low_confidence</t>
        </is>
      </c>
      <c r="E291" t="n">
        <v>33.7129313</v>
      </c>
      <c r="F291" t="n">
        <v>-84.6426467</v>
      </c>
      <c r="G291" t="inlineStr">
        <is>
          <t>Nominatim place: Tributary, Douglasville, Douglas County, Georgia, United States</t>
        </is>
      </c>
      <c r="H291" t="n">
        <v>100</v>
      </c>
      <c r="J291" t="n">
        <v>43.2</v>
      </c>
      <c r="L291" t="inlineStr">
        <is>
          <t>no substation in OSM; using the centroid of the town it is named after | low confidence: town centroid, not the substation itself</t>
        </is>
      </c>
    </row>
    <row r="292">
      <c r="A292" t="inlineStr">
        <is>
          <t>GPC_115</t>
        </is>
      </c>
      <c r="B292" t="inlineStr">
        <is>
          <t>NORTH SPA 230KV STRATEGIC PROJECT</t>
        </is>
      </c>
      <c r="C292" t="inlineStr">
        <is>
          <t>NORTH SPA</t>
        </is>
      </c>
      <c r="D292" s="3" t="inlineStr">
        <is>
          <t>unlocated</t>
        </is>
      </c>
      <c r="L292" t="inlineStr">
        <is>
          <t>no OSM substation or Nominatim place matched</t>
        </is>
      </c>
    </row>
    <row r="293">
      <c r="A293" t="inlineStr">
        <is>
          <t>GPC_116</t>
        </is>
      </c>
      <c r="B293" t="inlineStr">
        <is>
          <t>TALLULAH LODGE - TOCCOA 115 KV REBUILD</t>
        </is>
      </c>
      <c r="C293" t="inlineStr">
        <is>
          <t>TALLULAH LODGE</t>
        </is>
      </c>
      <c r="D293" s="3" t="inlineStr">
        <is>
          <t>unlocated</t>
        </is>
      </c>
      <c r="L293" t="inlineStr">
        <is>
          <t>no OSM substation or Nominatim place matched</t>
        </is>
      </c>
    </row>
    <row r="294">
      <c r="A294" t="inlineStr">
        <is>
          <t>GPC_116</t>
        </is>
      </c>
      <c r="B294" t="inlineStr">
        <is>
          <t>TALLULAH LODGE - TOCCOA 115 KV REBUILD</t>
        </is>
      </c>
      <c r="C294" t="inlineStr">
        <is>
          <t>TOCCOA</t>
        </is>
      </c>
      <c r="D294" s="2" t="inlineStr">
        <is>
          <t>confirmed</t>
        </is>
      </c>
      <c r="E294" t="n">
        <v>34.5809462</v>
      </c>
      <c r="F294" t="n">
        <v>-83.35273410000001</v>
      </c>
      <c r="G294" t="inlineStr">
        <is>
          <t>OSM way/52440914 'Toccoa Primary Substation' [Georgia Power]</t>
        </is>
      </c>
      <c r="H294" t="n">
        <v>100</v>
      </c>
      <c r="I294" t="b">
        <v>1</v>
      </c>
      <c r="J294" t="n">
        <v>46.7</v>
      </c>
      <c r="L294" t="inlineStr"/>
    </row>
    <row r="295">
      <c r="A295" t="inlineStr">
        <is>
          <t>GPC_117</t>
        </is>
      </c>
      <c r="B295" t="inlineStr">
        <is>
          <t>TRIBUTARY - THORNTON RD 230KV REBUILD</t>
        </is>
      </c>
      <c r="C295" t="inlineStr">
        <is>
          <t>TRIBUTARY</t>
        </is>
      </c>
      <c r="D295" s="4" t="inlineStr">
        <is>
          <t>low_confidence</t>
        </is>
      </c>
      <c r="E295" t="n">
        <v>33.7129313</v>
      </c>
      <c r="F295" t="n">
        <v>-84.6426467</v>
      </c>
      <c r="G295" t="inlineStr">
        <is>
          <t>Nominatim place: Tributary, Douglasville, Douglas County, Georgia, United States</t>
        </is>
      </c>
      <c r="H295" t="n">
        <v>100</v>
      </c>
      <c r="J295" t="n">
        <v>43.2</v>
      </c>
      <c r="L295" t="inlineStr">
        <is>
          <t>no substation in OSM; using the centroid of the town it is named after | low confidence: town centroid, not the substation itself</t>
        </is>
      </c>
    </row>
    <row r="296">
      <c r="A296" t="inlineStr">
        <is>
          <t>GPC_117</t>
        </is>
      </c>
      <c r="B296" t="inlineStr">
        <is>
          <t>TRIBUTARY - THORNTON RD 230KV REBUILD</t>
        </is>
      </c>
      <c r="C296" t="inlineStr">
        <is>
          <t>THORNTON RD</t>
        </is>
      </c>
      <c r="D296" s="3" t="inlineStr">
        <is>
          <t>unlocated</t>
        </is>
      </c>
      <c r="L296" t="inlineStr">
        <is>
          <t>no OSM substation or Nominatim place matched</t>
        </is>
      </c>
    </row>
    <row r="297">
      <c r="A297" t="inlineStr">
        <is>
          <t>GPC_118</t>
        </is>
      </c>
      <c r="B297" t="inlineStr">
        <is>
          <t>THOMASTON 230 NEW BUILD SUB</t>
        </is>
      </c>
      <c r="C297" t="inlineStr">
        <is>
          <t>THOMASTON 230 NEW BUILD</t>
        </is>
      </c>
      <c r="D297" s="4" t="inlineStr">
        <is>
          <t>low_confidence</t>
        </is>
      </c>
      <c r="E297" t="n">
        <v>32.8999225</v>
      </c>
      <c r="F297" t="n">
        <v>-84.3125168</v>
      </c>
      <c r="G297" t="inlineStr">
        <is>
          <t>OSM way/160308061 'Thomaston Primary Substation' [Georgia Power]</t>
        </is>
      </c>
      <c r="H297" t="n">
        <v>100</v>
      </c>
      <c r="I297" t="b">
        <v>1</v>
      </c>
      <c r="L297" t="inlineStr">
        <is>
          <t>2 same-named OSM substations and no context to choose | low confidence: ambiguous, several same-named substations</t>
        </is>
      </c>
    </row>
    <row r="298">
      <c r="A298" t="inlineStr">
        <is>
          <t>GPC_119</t>
        </is>
      </c>
      <c r="B298" t="inlineStr">
        <is>
          <t>BAINBRIDGE TRANSMISSION: EAST RIVER ROAD, EAST BAINBRIDGE</t>
        </is>
      </c>
      <c r="C298" t="inlineStr">
        <is>
          <t>BAINBRIDGE</t>
        </is>
      </c>
      <c r="D298" s="2" t="inlineStr">
        <is>
          <t>confirmed</t>
        </is>
      </c>
      <c r="E298" t="n">
        <v>30.9125521</v>
      </c>
      <c r="F298" t="n">
        <v>-84.5669923</v>
      </c>
      <c r="G298" t="inlineStr">
        <is>
          <t>OSM way/1058040908 'Bainbridge Substation' [Georgia Power]</t>
        </is>
      </c>
      <c r="H298" t="n">
        <v>100</v>
      </c>
      <c r="I298" t="b">
        <v>1</v>
      </c>
      <c r="J298" t="n">
        <v>67.7</v>
      </c>
      <c r="L298" t="inlineStr"/>
    </row>
    <row r="299">
      <c r="A299" t="inlineStr">
        <is>
          <t>GPC_120</t>
        </is>
      </c>
      <c r="B299" t="inlineStr">
        <is>
          <t>GLENWOOD SPRINGS 115KV CAP BANK</t>
        </is>
      </c>
      <c r="C299" t="inlineStr">
        <is>
          <t>GLENWOOD SPRINGS</t>
        </is>
      </c>
      <c r="D299" s="3" t="inlineStr">
        <is>
          <t>unlocated</t>
        </is>
      </c>
      <c r="L299" t="inlineStr">
        <is>
          <t>no OSM substation or Nominatim place matched</t>
        </is>
      </c>
    </row>
    <row r="300">
      <c r="A300" t="inlineStr">
        <is>
          <t>GPC_121</t>
        </is>
      </c>
      <c r="B300" t="inlineStr">
        <is>
          <t>EAST POINT - UNION CITY (WHITE) 230KV REBUILD</t>
        </is>
      </c>
      <c r="C300" t="inlineStr">
        <is>
          <t>EAST POINT</t>
        </is>
      </c>
      <c r="D300" s="2" t="inlineStr">
        <is>
          <t>confirmed</t>
        </is>
      </c>
      <c r="E300" t="n">
        <v>33.6763499</v>
      </c>
      <c r="F300" t="n">
        <v>-84.4629659</v>
      </c>
      <c r="G300" t="inlineStr">
        <is>
          <t>OSM relation/14128477 'East Point Primary Substation' [Georgia Power]</t>
        </is>
      </c>
      <c r="H300" t="n">
        <v>100</v>
      </c>
      <c r="I300" t="b">
        <v>1</v>
      </c>
      <c r="J300" t="n">
        <v>7.8</v>
      </c>
      <c r="L300" t="inlineStr"/>
    </row>
    <row r="301">
      <c r="A301" t="inlineStr">
        <is>
          <t>GPC_121</t>
        </is>
      </c>
      <c r="B301" t="inlineStr">
        <is>
          <t>EAST POINT - UNION CITY (WHITE) 230KV REBUILD</t>
        </is>
      </c>
      <c r="C301" t="inlineStr">
        <is>
          <t>UNION CITY (WHITE)</t>
        </is>
      </c>
      <c r="D301" s="4" t="inlineStr">
        <is>
          <t>low_confidence</t>
        </is>
      </c>
      <c r="E301" t="n">
        <v>33.5870558</v>
      </c>
      <c r="F301" t="n">
        <v>-84.5424299</v>
      </c>
      <c r="G301" t="inlineStr">
        <is>
          <t>Nominatim place: Union City, Fulton County, Georgia, United States</t>
        </is>
      </c>
      <c r="H301" t="n">
        <v>100</v>
      </c>
      <c r="J301" t="n">
        <v>7.7</v>
      </c>
      <c r="L301" t="inlineStr">
        <is>
          <t>no substation in OSM; using the centroid of the town it is named after | low confidence: town centroid, not the substation itself</t>
        </is>
      </c>
    </row>
    <row r="302">
      <c r="A302" t="inlineStr">
        <is>
          <t>GPC_122</t>
        </is>
      </c>
      <c r="B302" t="inlineStr">
        <is>
          <t>AVERY - HOPEWELL 115KV RECONDUCTOR</t>
        </is>
      </c>
      <c r="C302" t="inlineStr">
        <is>
          <t>AVERY</t>
        </is>
      </c>
      <c r="D302" s="2" t="inlineStr">
        <is>
          <t>confirmed</t>
        </is>
      </c>
      <c r="E302" t="n">
        <v>34.2169889</v>
      </c>
      <c r="F302" t="n">
        <v>-84.38576430000001</v>
      </c>
      <c r="G302" t="inlineStr">
        <is>
          <t>OSM way/700215120 'Avery Substation' [Georgia Power]</t>
        </is>
      </c>
      <c r="H302" t="n">
        <v>100</v>
      </c>
      <c r="I302" t="b">
        <v>1</v>
      </c>
      <c r="J302" t="n">
        <v>35.4</v>
      </c>
      <c r="L302" t="inlineStr"/>
    </row>
    <row r="303">
      <c r="A303" t="inlineStr">
        <is>
          <t>GPC_122</t>
        </is>
      </c>
      <c r="B303" t="inlineStr">
        <is>
          <t>AVERY - HOPEWELL 115KV RECONDUCTOR</t>
        </is>
      </c>
      <c r="C303" t="inlineStr">
        <is>
          <t>HOPEWELL</t>
        </is>
      </c>
      <c r="D303" s="2" t="inlineStr">
        <is>
          <t>confirmed</t>
        </is>
      </c>
      <c r="E303" t="n">
        <v>34.1741923</v>
      </c>
      <c r="F303" t="n">
        <v>-84.2834055</v>
      </c>
      <c r="G303" t="inlineStr">
        <is>
          <t>OSM way/177931281 'Hopewell Substation' [Georgia Power]</t>
        </is>
      </c>
      <c r="H303" t="n">
        <v>100</v>
      </c>
      <c r="I303" t="b">
        <v>1</v>
      </c>
      <c r="J303" t="n">
        <v>27.6</v>
      </c>
      <c r="L303" t="inlineStr"/>
    </row>
    <row r="304">
      <c r="A304" t="inlineStr">
        <is>
          <t>GPC_123</t>
        </is>
      </c>
      <c r="B304" t="inlineStr">
        <is>
          <t>BOWEN #10 500/230KV AUTOBANK REPLACEMENT</t>
        </is>
      </c>
      <c r="C304" t="inlineStr">
        <is>
          <t>BOWEN #10 AUTOBANK REPLACEMENT</t>
        </is>
      </c>
      <c r="D304" s="3" t="inlineStr">
        <is>
          <t>unlocated</t>
        </is>
      </c>
      <c r="L304" t="inlineStr">
        <is>
          <t>no OSM substation or Nominatim place matched</t>
        </is>
      </c>
    </row>
    <row r="305">
      <c r="A305" t="inlineStr">
        <is>
          <t>GPC_124</t>
        </is>
      </c>
      <c r="B305" t="inlineStr">
        <is>
          <t>HATCH - WADLEY 500 KV LINE STRATEGIC PROJECT</t>
        </is>
      </c>
      <c r="C305" t="inlineStr">
        <is>
          <t>HATCH</t>
        </is>
      </c>
      <c r="D305" s="3" t="inlineStr">
        <is>
          <t>unlocated</t>
        </is>
      </c>
      <c r="L305" t="inlineStr">
        <is>
          <t>no OSM substation or Nominatim place matched</t>
        </is>
      </c>
    </row>
    <row r="306">
      <c r="A306" t="inlineStr">
        <is>
          <t>GPC_124</t>
        </is>
      </c>
      <c r="B306" t="inlineStr">
        <is>
          <t>HATCH - WADLEY 500 KV LINE STRATEGIC PROJECT</t>
        </is>
      </c>
      <c r="C306" t="inlineStr">
        <is>
          <t>WADLEY</t>
        </is>
      </c>
      <c r="D306" s="2" t="inlineStr">
        <is>
          <t>confirmed</t>
        </is>
      </c>
      <c r="E306" t="n">
        <v>32.8846571</v>
      </c>
      <c r="F306" t="n">
        <v>-82.4158724</v>
      </c>
      <c r="G306" t="inlineStr">
        <is>
          <t>OSM way/1005940922 'Wadley Substation' [Georgia Power]</t>
        </is>
      </c>
      <c r="H306" t="n">
        <v>100</v>
      </c>
      <c r="I306" t="b">
        <v>1</v>
      </c>
      <c r="J306" t="n">
        <v>76.8</v>
      </c>
      <c r="L306" t="inlineStr">
        <is>
          <t>2 OSM substations named like 'WADLEY' (32.81,-82.40, 32.88,-82.42); picked the one nearest the zone 215</t>
        </is>
      </c>
    </row>
    <row r="307">
      <c r="A307" t="inlineStr">
        <is>
          <t>GPC_125</t>
        </is>
      </c>
      <c r="B307" t="inlineStr">
        <is>
          <t>SAV: COLEMAN - MELDRIM 115KV LINE REBUILD</t>
        </is>
      </c>
      <c r="C307" t="inlineStr">
        <is>
          <t>COLEMAN</t>
        </is>
      </c>
      <c r="D307" s="2" t="inlineStr">
        <is>
          <t>confirmed</t>
        </is>
      </c>
      <c r="E307" t="n">
        <v>32.0973197</v>
      </c>
      <c r="F307" t="n">
        <v>-81.116077</v>
      </c>
      <c r="G307" t="inlineStr">
        <is>
          <t>OSM way/1011846565 'Coleman Substation' [Georgia Power]</t>
        </is>
      </c>
      <c r="H307" t="n">
        <v>100</v>
      </c>
      <c r="I307" t="b">
        <v>1</v>
      </c>
      <c r="J307" t="n">
        <v>6.5</v>
      </c>
      <c r="L307" t="inlineStr">
        <is>
          <t>2 OSM substations named like 'COLEMAN' (32.11,-81.23, 32.10,-81.12); picked the one nearest the zone 219</t>
        </is>
      </c>
    </row>
    <row r="308">
      <c r="A308" t="inlineStr">
        <is>
          <t>GPC_125</t>
        </is>
      </c>
      <c r="B308" t="inlineStr">
        <is>
          <t>SAV: COLEMAN - MELDRIM 115KV LINE REBUILD</t>
        </is>
      </c>
      <c r="C308" t="inlineStr">
        <is>
          <t>MELDRIM</t>
        </is>
      </c>
      <c r="D308" s="2" t="inlineStr">
        <is>
          <t>confirmed</t>
        </is>
      </c>
      <c r="E308" t="n">
        <v>32.1552821</v>
      </c>
      <c r="F308" t="n">
        <v>-81.368377</v>
      </c>
      <c r="G308" t="inlineStr">
        <is>
          <t>OSM way/121624363 'Meldrim Substation' [Georgia Power]</t>
        </is>
      </c>
      <c r="H308" t="n">
        <v>100</v>
      </c>
      <c r="I308" t="b">
        <v>1</v>
      </c>
      <c r="J308" t="n">
        <v>20.7</v>
      </c>
      <c r="L308" t="inlineStr"/>
    </row>
    <row r="309">
      <c r="A309" t="inlineStr">
        <is>
          <t>GPC_126</t>
        </is>
      </c>
      <c r="B309" t="inlineStr">
        <is>
          <t>ARKWRIGHT BUS AND JUMPER REPLACEMENT</t>
        </is>
      </c>
      <c r="C309" t="inlineStr">
        <is>
          <t>ARKWRIGHT BUS AND JUMPER REPLACEMENT</t>
        </is>
      </c>
      <c r="D309" s="4" t="inlineStr">
        <is>
          <t>low_confidence</t>
        </is>
      </c>
      <c r="E309" t="n">
        <v>32.9272219</v>
      </c>
      <c r="F309" t="n">
        <v>-83.69887799999999</v>
      </c>
      <c r="G309" t="inlineStr">
        <is>
          <t>OSM way/164024559 'Arkwight Substation' [Georgia Power]</t>
        </is>
      </c>
      <c r="H309" t="n">
        <v>94</v>
      </c>
      <c r="I309" t="b">
        <v>1</v>
      </c>
      <c r="J309" t="n">
        <v>36</v>
      </c>
      <c r="L309" t="inlineStr">
        <is>
          <t>2 OSM substations named like 'ARKWRIGHT BUS AND JUMPER REPLACEMENT' (32.93,-83.70, 32.92,-83.73); picked the one nearest the zone 214 | low confidence: fuzzy name match (94)</t>
        </is>
      </c>
    </row>
    <row r="310">
      <c r="A310" t="inlineStr">
        <is>
          <t>GPC_127</t>
        </is>
      </c>
      <c r="B310" t="inlineStr">
        <is>
          <t>BAY CREEK - CONYERS 230KV LIMITING ELEMENT REPLACEMENT</t>
        </is>
      </c>
      <c r="C310" t="inlineStr">
        <is>
          <t>BAY CREEK</t>
        </is>
      </c>
      <c r="D310" s="2" t="inlineStr">
        <is>
          <t>confirmed</t>
        </is>
      </c>
      <c r="E310" t="n">
        <v>33.8681196</v>
      </c>
      <c r="F310" t="n">
        <v>-83.8823506</v>
      </c>
      <c r="G310" t="inlineStr">
        <is>
          <t>OSM way/175826909 'Bay Creek Substation' [Georgia Power]</t>
        </is>
      </c>
      <c r="H310" t="n">
        <v>100</v>
      </c>
      <c r="I310" t="b">
        <v>1</v>
      </c>
      <c r="J310" t="n">
        <v>31.4</v>
      </c>
      <c r="L310" t="inlineStr"/>
    </row>
    <row r="311">
      <c r="A311" t="inlineStr">
        <is>
          <t>GPC_127</t>
        </is>
      </c>
      <c r="B311" t="inlineStr">
        <is>
          <t>BAY CREEK - CONYERS 230KV LIMITING ELEMENT REPLACEMENT</t>
        </is>
      </c>
      <c r="C311" t="inlineStr">
        <is>
          <t>CONYERS</t>
        </is>
      </c>
      <c r="D311" s="4" t="inlineStr">
        <is>
          <t>low_confidence</t>
        </is>
      </c>
      <c r="E311" t="n">
        <v>33.6676103</v>
      </c>
      <c r="F311" t="n">
        <v>-84.01769040000001</v>
      </c>
      <c r="G311" t="inlineStr">
        <is>
          <t>Nominatim place: Conyers, Rockdale County, Georgia, United States</t>
        </is>
      </c>
      <c r="H311" t="n">
        <v>100</v>
      </c>
      <c r="J311" t="n">
        <v>34.6</v>
      </c>
      <c r="L311" t="inlineStr">
        <is>
          <t>no substation in OSM; using the centroid of the town it is named after | low confidence: town centroid, not the substation itself</t>
        </is>
      </c>
    </row>
    <row r="312">
      <c r="A312" t="inlineStr">
        <is>
          <t>GPC_128</t>
        </is>
      </c>
      <c r="B312" t="inlineStr">
        <is>
          <t>EVANS PRIMARY - THURMOND DAM (USA) #5 115KV REBUILD</t>
        </is>
      </c>
      <c r="C312" t="inlineStr">
        <is>
          <t>EVANS PRIMARY</t>
        </is>
      </c>
      <c r="D312" s="2" t="inlineStr">
        <is>
          <t>confirmed</t>
        </is>
      </c>
      <c r="E312" t="n">
        <v>33.543994</v>
      </c>
      <c r="F312" t="n">
        <v>-82.168648</v>
      </c>
      <c r="G312" t="inlineStr">
        <is>
          <t>organizer worked example</t>
        </is>
      </c>
      <c r="K312" t="n">
        <v>0</v>
      </c>
      <c r="L312" t="inlineStr">
        <is>
          <t>OSM 'Evans Primary Substation' (way/52103255) lands 0.00 km from the organizer point</t>
        </is>
      </c>
    </row>
    <row r="313">
      <c r="A313" t="inlineStr">
        <is>
          <t>GPC_128</t>
        </is>
      </c>
      <c r="B313" t="inlineStr">
        <is>
          <t>EVANS PRIMARY - THURMOND DAM (USA) #5 115KV REBUILD</t>
        </is>
      </c>
      <c r="C313" t="inlineStr">
        <is>
          <t>THURMOND DAM (USA) #5</t>
        </is>
      </c>
      <c r="D313" s="2" t="inlineStr">
        <is>
          <t>confirmed</t>
        </is>
      </c>
      <c r="E313" t="n">
        <v>33.660127</v>
      </c>
      <c r="F313" t="n">
        <v>-82.195931</v>
      </c>
      <c r="G313" t="inlineStr">
        <is>
          <t>organizer worked example</t>
        </is>
      </c>
      <c r="K313" t="n">
        <v>0</v>
      </c>
      <c r="L313" t="inlineStr">
        <is>
          <t>OSM 'Thurmond Substation' (way/52102019) lands 0.00 km from the organizer point</t>
        </is>
      </c>
    </row>
    <row r="314">
      <c r="A314" t="inlineStr">
        <is>
          <t>GPC_129</t>
        </is>
      </c>
      <c r="B314" t="inlineStr">
        <is>
          <t>EVANS PRIMARY - THURMOND DAM (USA) #6 115KV REBUILD</t>
        </is>
      </c>
      <c r="C314" t="inlineStr">
        <is>
          <t>EVANS PRIMARY</t>
        </is>
      </c>
      <c r="D314" s="2" t="inlineStr">
        <is>
          <t>confirmed</t>
        </is>
      </c>
      <c r="E314" t="n">
        <v>33.543994</v>
      </c>
      <c r="F314" t="n">
        <v>-82.168648</v>
      </c>
      <c r="G314" t="inlineStr">
        <is>
          <t>organizer worked example</t>
        </is>
      </c>
      <c r="K314" t="n">
        <v>0</v>
      </c>
      <c r="L314" t="inlineStr">
        <is>
          <t>OSM 'Evans Primary Substation' (way/52103255) lands 0.00 km from the organizer point</t>
        </is>
      </c>
    </row>
    <row r="315">
      <c r="A315" t="inlineStr">
        <is>
          <t>GPC_129</t>
        </is>
      </c>
      <c r="B315" t="inlineStr">
        <is>
          <t>EVANS PRIMARY - THURMOND DAM (USA) #6 115KV REBUILD</t>
        </is>
      </c>
      <c r="C315" t="inlineStr">
        <is>
          <t>THURMOND DAM (USA) #6</t>
        </is>
      </c>
      <c r="D315" s="2" t="inlineStr">
        <is>
          <t>confirmed</t>
        </is>
      </c>
      <c r="E315" t="n">
        <v>33.660127</v>
      </c>
      <c r="F315" t="n">
        <v>-82.195931</v>
      </c>
      <c r="G315" t="inlineStr">
        <is>
          <t>organizer worked example</t>
        </is>
      </c>
      <c r="K315" t="n">
        <v>0</v>
      </c>
      <c r="L315" t="inlineStr">
        <is>
          <t>OSM 'Thurmond Substation' (way/52102019) lands 0.00 km from the organizer point</t>
        </is>
      </c>
    </row>
    <row r="316">
      <c r="A316" t="inlineStr">
        <is>
          <t>GPC_130</t>
        </is>
      </c>
      <c r="B316" t="inlineStr">
        <is>
          <t>MCEVER ROAD - SHOAL CREEK 115KV REBUILD PHASE III</t>
        </is>
      </c>
      <c r="C316" t="inlineStr">
        <is>
          <t>MCEVER ROAD</t>
        </is>
      </c>
      <c r="D316" s="2" t="inlineStr">
        <is>
          <t>confirmed</t>
        </is>
      </c>
      <c r="E316" t="n">
        <v>34.2728832</v>
      </c>
      <c r="F316" t="n">
        <v>-83.8738012</v>
      </c>
      <c r="G316" t="inlineStr">
        <is>
          <t>OSM way/1037359821 'McEver Road Substation' [Georgia Power]</t>
        </is>
      </c>
      <c r="H316" t="n">
        <v>100</v>
      </c>
      <c r="I316" t="b">
        <v>1</v>
      </c>
      <c r="J316" t="n">
        <v>16.1</v>
      </c>
      <c r="L316" t="inlineStr"/>
    </row>
    <row r="317">
      <c r="A317" t="inlineStr">
        <is>
          <t>GPC_130</t>
        </is>
      </c>
      <c r="B317" t="inlineStr">
        <is>
          <t>MCEVER ROAD - SHOAL CREEK 115KV REBUILD PHASE III</t>
        </is>
      </c>
      <c r="C317" t="inlineStr">
        <is>
          <t>SHOAL CREEK</t>
        </is>
      </c>
      <c r="D317" s="3" t="inlineStr">
        <is>
          <t>unlocated</t>
        </is>
      </c>
      <c r="L317" t="inlineStr">
        <is>
          <t>no OSM substation or Nominatim place matched</t>
        </is>
      </c>
    </row>
    <row r="318">
      <c r="A318" t="inlineStr">
        <is>
          <t>GPC_131</t>
        </is>
      </c>
      <c r="B318" t="inlineStr">
        <is>
          <t>MCGRAU FORD - MIDDLE FORK 500KV LINE PROJECT</t>
        </is>
      </c>
      <c r="C318" t="inlineStr">
        <is>
          <t>MCGRAU FORD</t>
        </is>
      </c>
      <c r="D318" s="2" t="inlineStr">
        <is>
          <t>confirmed</t>
        </is>
      </c>
      <c r="E318" t="n">
        <v>34.3264526</v>
      </c>
      <c r="F318" t="n">
        <v>-84.3370065</v>
      </c>
      <c r="G318" t="inlineStr">
        <is>
          <t>OSM way/159758301 'McGrau Ford Substation' [no operator tag]</t>
        </is>
      </c>
      <c r="H318" t="n">
        <v>100</v>
      </c>
      <c r="I318" t="b">
        <v>0</v>
      </c>
      <c r="J318" t="n">
        <v>58.9</v>
      </c>
      <c r="L318" t="inlineStr">
        <is>
          <t>confirmed: exact name, only such substation in the state; OSM has no operator tag</t>
        </is>
      </c>
    </row>
    <row r="319">
      <c r="A319" t="inlineStr">
        <is>
          <t>GPC_131</t>
        </is>
      </c>
      <c r="B319" t="inlineStr">
        <is>
          <t>MCGRAU FORD - MIDDLE FORK 500KV LINE PROJECT</t>
        </is>
      </c>
      <c r="C319" t="inlineStr">
        <is>
          <t>MIDDLE FORK</t>
        </is>
      </c>
      <c r="D319" s="3" t="inlineStr">
        <is>
          <t>unlocated</t>
        </is>
      </c>
      <c r="L319" t="inlineStr">
        <is>
          <t>no OSM substation or Nominatim place matched</t>
        </is>
      </c>
    </row>
    <row r="320">
      <c r="A320" t="inlineStr">
        <is>
          <t>GPC_132</t>
        </is>
      </c>
      <c r="B320" t="inlineStr">
        <is>
          <t>SAV: MELDRIM BANK D REPLACEMENT</t>
        </is>
      </c>
      <c r="C320" t="inlineStr">
        <is>
          <t>MELDRIM BANK D REPLACEMENT</t>
        </is>
      </c>
      <c r="D320" s="2" t="inlineStr">
        <is>
          <t>confirmed</t>
        </is>
      </c>
      <c r="E320" t="n">
        <v>32.1552821</v>
      </c>
      <c r="F320" t="n">
        <v>-81.368377</v>
      </c>
      <c r="G320" t="inlineStr">
        <is>
          <t>OSM way/121624363 'Meldrim Substation' [Georgia Power]</t>
        </is>
      </c>
      <c r="H320" t="n">
        <v>100</v>
      </c>
      <c r="I320" t="b">
        <v>1</v>
      </c>
      <c r="J320" t="n">
        <v>20.7</v>
      </c>
      <c r="L320" t="inlineStr"/>
    </row>
    <row r="321">
      <c r="A321" t="inlineStr">
        <is>
          <t>GPC_133</t>
        </is>
      </c>
      <c r="B321" t="inlineStr">
        <is>
          <t>THOMSON PRIMARY 230/115KV SECOND TRANSFORMER</t>
        </is>
      </c>
      <c r="C321" t="inlineStr">
        <is>
          <t>THOMSON PRIMARY SECOND TRANSFORMER</t>
        </is>
      </c>
      <c r="D321" s="2" t="inlineStr">
        <is>
          <t>confirmed</t>
        </is>
      </c>
      <c r="E321" t="n">
        <v>33.453955</v>
      </c>
      <c r="F321" t="n">
        <v>-82.414219</v>
      </c>
      <c r="G321" t="inlineStr">
        <is>
          <t>OSM way/160065782 'Thomson Primary Substation' [Georgia Power]</t>
        </is>
      </c>
      <c r="H321" t="n">
        <v>100</v>
      </c>
      <c r="I321" t="b">
        <v>1</v>
      </c>
      <c r="J321" t="n">
        <v>24.9</v>
      </c>
      <c r="L321" t="inlineStr">
        <is>
          <t>2 OSM substations named like 'THOMSON PRIMARY SECOND TRANSFORMER' (33.45,-82.41, 33.47,-82.49); picked the one nearest the zone 215</t>
        </is>
      </c>
    </row>
    <row r="322">
      <c r="A322" t="inlineStr">
        <is>
          <t>GPC_134</t>
        </is>
      </c>
      <c r="B322" t="inlineStr">
        <is>
          <t>WINDER PRIMARY 230KV BUS 1-2 PARALLEL BUS-TIE INSTALLATION</t>
        </is>
      </c>
      <c r="C322" t="inlineStr">
        <is>
          <t>WINDER PRIMARY</t>
        </is>
      </c>
      <c r="D322" s="2" t="inlineStr">
        <is>
          <t>confirmed</t>
        </is>
      </c>
      <c r="E322" t="n">
        <v>33.9954594</v>
      </c>
      <c r="F322" t="n">
        <v>-83.7531307</v>
      </c>
      <c r="G322" t="inlineStr">
        <is>
          <t>OSM way/171583070 'Winder Primary Substation' [Georgia Power]</t>
        </is>
      </c>
      <c r="H322" t="n">
        <v>100</v>
      </c>
      <c r="I322" t="b">
        <v>1</v>
      </c>
      <c r="J322" t="n">
        <v>43</v>
      </c>
      <c r="L322" t="inlineStr">
        <is>
          <t>2 OSM substations named like 'WINDER PRIMARY' (34.00,-83.75, 34.02,-83.76); picked the one nearest the zone 202</t>
        </is>
      </c>
    </row>
    <row r="323">
      <c r="A323" t="inlineStr">
        <is>
          <t>GPC_135</t>
        </is>
      </c>
      <c r="B323" t="inlineStr">
        <is>
          <t>PINE GROVE PRIMARY - WEST VALDOSTA 115 KV RECONDUCTOR</t>
        </is>
      </c>
      <c r="C323" t="inlineStr">
        <is>
          <t>PINE GROVE PRIMARY</t>
        </is>
      </c>
      <c r="D323" s="2" t="inlineStr">
        <is>
          <t>confirmed</t>
        </is>
      </c>
      <c r="E323" t="n">
        <v>30.8816485</v>
      </c>
      <c r="F323" t="n">
        <v>-83.2279869</v>
      </c>
      <c r="G323" t="inlineStr">
        <is>
          <t>OSM way/174399121 'Pine Grove Primary Substation' [Georgia Power]</t>
        </is>
      </c>
      <c r="H323" t="n">
        <v>100</v>
      </c>
      <c r="I323" t="b">
        <v>1</v>
      </c>
      <c r="J323" t="n">
        <v>60.2</v>
      </c>
      <c r="L323" t="inlineStr"/>
    </row>
    <row r="324">
      <c r="A324" t="inlineStr">
        <is>
          <t>GPC_135</t>
        </is>
      </c>
      <c r="B324" t="inlineStr">
        <is>
          <t>PINE GROVE PRIMARY - WEST VALDOSTA 115 KV RECONDUCTOR</t>
        </is>
      </c>
      <c r="C324" t="inlineStr">
        <is>
          <t>WEST VALDOSTA</t>
        </is>
      </c>
      <c r="D324" s="4" t="inlineStr">
        <is>
          <t>low_confidence</t>
        </is>
      </c>
      <c r="E324" t="n">
        <v>30.846057</v>
      </c>
      <c r="F324" t="n">
        <v>-83.2543359</v>
      </c>
      <c r="G324" t="inlineStr">
        <is>
          <t>OSM way/740574499 'East Valdosta Substation' [Georgia Power]</t>
        </is>
      </c>
      <c r="H324" t="n">
        <v>92</v>
      </c>
      <c r="I324" t="b">
        <v>1</v>
      </c>
      <c r="J324" t="n">
        <v>57.8</v>
      </c>
      <c r="L324" t="inlineStr">
        <is>
          <t>low confidence: fuzzy name match (92)</t>
        </is>
      </c>
    </row>
    <row r="325">
      <c r="A325" t="inlineStr">
        <is>
          <t>GPC_136</t>
        </is>
      </c>
      <c r="B325" t="inlineStr">
        <is>
          <t>DAWSON CROSSING - GAINESVILLE #1 115 KV</t>
        </is>
      </c>
      <c r="C325" t="inlineStr">
        <is>
          <t>DAWSON CROSSING</t>
        </is>
      </c>
      <c r="D325" s="2" t="inlineStr">
        <is>
          <t>confirmed</t>
        </is>
      </c>
      <c r="E325" t="n">
        <v>34.3781185</v>
      </c>
      <c r="F325" t="n">
        <v>-84.1335754</v>
      </c>
      <c r="G325" t="inlineStr">
        <is>
          <t>OSM way/177912657 'Dawson Crossing Substation' [Georgia Power]</t>
        </is>
      </c>
      <c r="H325" t="n">
        <v>100</v>
      </c>
      <c r="I325" t="b">
        <v>1</v>
      </c>
      <c r="J325" t="n">
        <v>41.6</v>
      </c>
      <c r="L325" t="inlineStr"/>
    </row>
    <row r="326">
      <c r="A326" t="inlineStr">
        <is>
          <t>GPC_136</t>
        </is>
      </c>
      <c r="B326" t="inlineStr">
        <is>
          <t>DAWSON CROSSING - GAINESVILLE #1 115 KV</t>
        </is>
      </c>
      <c r="C326" t="inlineStr">
        <is>
          <t>GAINESVILLE #1</t>
        </is>
      </c>
      <c r="D326" s="2" t="inlineStr">
        <is>
          <t>confirmed</t>
        </is>
      </c>
      <c r="E326" t="n">
        <v>34.263022</v>
      </c>
      <c r="F326" t="n">
        <v>-83.8096728</v>
      </c>
      <c r="G326" t="inlineStr">
        <is>
          <t>OSM way/179716524 'Gainesville Substation #2' [Georgia Power]</t>
        </is>
      </c>
      <c r="H326" t="n">
        <v>100</v>
      </c>
      <c r="I326" t="b">
        <v>1</v>
      </c>
      <c r="J326" t="n">
        <v>10.2</v>
      </c>
      <c r="L326" t="inlineStr">
        <is>
          <t>2 OSM substations named like 'GAINESVILLE #1' (34.26,-83.81, 34.34,-83.84); picked the one nearest the zone 212</t>
        </is>
      </c>
    </row>
    <row r="327">
      <c r="A327" t="inlineStr">
        <is>
          <t>GPC_137</t>
        </is>
      </c>
      <c r="B327" t="inlineStr">
        <is>
          <t>SAV: LITTLE OGEECHEE 230/115KV BANK REPLACEMENT</t>
        </is>
      </c>
      <c r="C327" t="inlineStr">
        <is>
          <t>LITTLE OGEECHEE BANK REPLACEMENT</t>
        </is>
      </c>
      <c r="D327" s="2" t="inlineStr">
        <is>
          <t>confirmed</t>
        </is>
      </c>
      <c r="E327" t="n">
        <v>32.0067859</v>
      </c>
      <c r="F327" t="n">
        <v>-81.2531513</v>
      </c>
      <c r="G327" t="inlineStr">
        <is>
          <t>OSM way/121701191 'Little Ogeechee Substation' [Georgia Power]</t>
        </is>
      </c>
      <c r="H327" t="n">
        <v>100</v>
      </c>
      <c r="I327" t="b">
        <v>1</v>
      </c>
      <c r="J327" t="n">
        <v>9.9</v>
      </c>
      <c r="L327" t="inlineStr"/>
    </row>
    <row r="328">
      <c r="A328" t="inlineStr">
        <is>
          <t>GPC_138</t>
        </is>
      </c>
      <c r="B328" t="inlineStr">
        <is>
          <t>EVANS PRIMARY - THOMSON PRIMARY 115KV REBUILD</t>
        </is>
      </c>
      <c r="C328" t="inlineStr">
        <is>
          <t>EVANS PRIMARY</t>
        </is>
      </c>
      <c r="D328" s="2" t="inlineStr">
        <is>
          <t>confirmed</t>
        </is>
      </c>
      <c r="E328" t="n">
        <v>33.543994</v>
      </c>
      <c r="F328" t="n">
        <v>-82.168648</v>
      </c>
      <c r="G328" t="inlineStr">
        <is>
          <t>organizer worked example</t>
        </is>
      </c>
      <c r="K328" t="n">
        <v>0</v>
      </c>
      <c r="L328" t="inlineStr">
        <is>
          <t>OSM 'Evans Primary Substation' (way/52103255) lands 0.00 km from the organizer point</t>
        </is>
      </c>
    </row>
    <row r="329">
      <c r="A329" t="inlineStr">
        <is>
          <t>GPC_138</t>
        </is>
      </c>
      <c r="B329" t="inlineStr">
        <is>
          <t>EVANS PRIMARY - THOMSON PRIMARY 115KV REBUILD</t>
        </is>
      </c>
      <c r="C329" t="inlineStr">
        <is>
          <t>THOMSON PRIMARY</t>
        </is>
      </c>
      <c r="D329" s="2" t="inlineStr">
        <is>
          <t>confirmed</t>
        </is>
      </c>
      <c r="E329" t="n">
        <v>33.453955</v>
      </c>
      <c r="F329" t="n">
        <v>-82.414219</v>
      </c>
      <c r="G329" t="inlineStr">
        <is>
          <t>OSM way/160065782 'Thomson Primary Substation' [Georgia Power]</t>
        </is>
      </c>
      <c r="H329" t="n">
        <v>100</v>
      </c>
      <c r="I329" t="b">
        <v>1</v>
      </c>
      <c r="J329" t="n">
        <v>24.9</v>
      </c>
      <c r="L329" t="inlineStr">
        <is>
          <t>2 OSM substations named like 'THOMSON PRIMARY' (33.45,-82.41, 33.47,-82.49); picked the one nearest the zone 215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issue</t>
        </is>
      </c>
    </row>
    <row r="2">
      <c r="A2" t="inlineStr">
        <is>
          <t>DESC_3</t>
        </is>
      </c>
      <c r="B2" t="inlineStr">
        <is>
          <t>Okatie 230-115kV Substation, Jasper – Yemassee 230kV #1 Fold-in</t>
        </is>
      </c>
      <c r="C2" t="inlineStr">
        <is>
          <t>yearly figures sum to $10,529,933 but listed total is $11,116,933 ($587,000 unaccounted for, likely spend beyond the 5-year window); listed total kept</t>
        </is>
      </c>
    </row>
    <row r="3">
      <c r="A3" t="inlineStr">
        <is>
          <t>DESC_6</t>
        </is>
      </c>
      <c r="B3" t="inlineStr">
        <is>
          <t>Burton-St Helena 115kV: Rebuild Burton-Frogmore Transmission Section</t>
        </is>
      </c>
      <c r="C3" t="inlineStr">
        <is>
          <t>same named endpoints as project 6808 L (different scope/ID) -- kept as separate rows</t>
        </is>
      </c>
    </row>
    <row r="4">
      <c r="A4" t="inlineStr">
        <is>
          <t>DESC_7</t>
        </is>
      </c>
      <c r="B4" t="inlineStr">
        <is>
          <t>Burton-St Helena 115kV: Frogmore Distribution - St Helena</t>
        </is>
      </c>
      <c r="C4" t="inlineStr">
        <is>
          <t>same named endpoints as project 6808 K (different scope/ID) -- kept as separate rows</t>
        </is>
      </c>
    </row>
    <row r="5">
      <c r="A5" t="inlineStr">
        <is>
          <t>DESC_14</t>
        </is>
      </c>
      <c r="B5" t="inlineStr">
        <is>
          <t>Stevens Creek - Hooks 115kV/LR Plumb Branch 46kV Rebuilds</t>
        </is>
      </c>
      <c r="C5" t="inlineStr">
        <is>
          <t>same named endpoints as project 6809 G (different scope/ID) -- kept as separate rows</t>
        </is>
      </c>
    </row>
    <row r="6">
      <c r="A6" t="inlineStr">
        <is>
          <t>DESC_15</t>
        </is>
      </c>
      <c r="B6" t="inlineStr">
        <is>
          <t>Stevens Creek - Hooks 115kV/LR Plumb Branch 46kV</t>
        </is>
      </c>
      <c r="C6" t="inlineStr">
        <is>
          <t>same named endpoints as project 6809 E (different scope/ID) -- kept as separate rows</t>
        </is>
      </c>
    </row>
    <row r="7">
      <c r="A7" t="inlineStr">
        <is>
          <t>DESC_19</t>
        </is>
      </c>
      <c r="B7" t="inlineStr">
        <is>
          <t>Summerville: Replace and Spare 230-115kV 336MVA Auto Bank</t>
        </is>
      </c>
      <c r="C7" t="inlineStr">
        <is>
          <t>same named endpoints as project 06810 H (different scope/ID) -- kept as separate rows</t>
        </is>
      </c>
    </row>
    <row r="8">
      <c r="A8" t="inlineStr">
        <is>
          <t>DESC_22</t>
        </is>
      </c>
      <c r="B8" t="inlineStr">
        <is>
          <t>Riverport Tap: Construct Tap</t>
        </is>
      </c>
      <c r="C8" t="inlineStr">
        <is>
          <t>malformed cost cell 2024=$19,00,181; repaired to $19,000,181 (the only value consistent with the listed total $34,877,427)</t>
        </is>
      </c>
    </row>
    <row r="9">
      <c r="A9" t="inlineStr">
        <is>
          <t>DESC_26</t>
        </is>
      </c>
      <c r="B9" t="inlineStr">
        <is>
          <t>VCS2-Ward 230kV: Rebuild Line</t>
        </is>
      </c>
      <c r="C9" t="inlineStr">
        <is>
          <t>yearly figures sum to $20,000,000 but listed total is $30,000,000 ($10,000,000 unaccounted for, likely spend beyond the 5-year window); listed total kept</t>
        </is>
      </c>
    </row>
    <row r="10">
      <c r="A10" t="inlineStr">
        <is>
          <t>DESC_28</t>
        </is>
      </c>
      <c r="B10" t="inlineStr">
        <is>
          <t>Summerville 115kV Loop: Rebuild</t>
        </is>
      </c>
      <c r="C10" t="inlineStr">
        <is>
          <t>same named endpoints as project 05004 P (different scope/ID) -- kept as separate rows</t>
        </is>
      </c>
    </row>
    <row r="11">
      <c r="A11" t="inlineStr">
        <is>
          <t>DESC_34</t>
        </is>
      </c>
      <c r="B11" t="inlineStr">
        <is>
          <t>Dawson 230kV Sub and Fold-in: Construct and Rebuild</t>
        </is>
      </c>
      <c r="C11" t="inlineStr">
        <is>
          <t>in-service date '10/1/2025 (phase 1) and 10/1/2026 (phase 2)' has extra text; used first date 2025-10-01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organizer_id</t>
        </is>
      </c>
      <c r="B1" s="1" t="inlineStr">
        <is>
          <t>project_a</t>
        </is>
      </c>
      <c r="C1" s="1" t="inlineStr">
        <is>
          <t>project_b</t>
        </is>
      </c>
      <c r="D1" s="1" t="inlineStr">
        <is>
          <t>organizer_distance_mi</t>
        </is>
      </c>
      <c r="E1" s="1" t="inlineStr">
        <is>
          <t>organizer_day_gap</t>
        </is>
      </c>
      <c r="F1" s="1" t="inlineStr">
        <is>
          <t>our_overlap_id</t>
        </is>
      </c>
      <c r="G1" s="1" t="inlineStr">
        <is>
          <t>our_distance_mi</t>
        </is>
      </c>
      <c r="H1" s="1" t="inlineStr">
        <is>
          <t>our_day_gap</t>
        </is>
      </c>
      <c r="I1" s="1" t="inlineStr">
        <is>
          <t>reproduced</t>
        </is>
      </c>
    </row>
    <row r="2">
      <c r="A2" t="inlineStr">
        <is>
          <t>OVL_1</t>
        </is>
      </c>
      <c r="B2" t="inlineStr">
        <is>
          <t>Hooks - Thurmond 115 kV Tie: Rebuild</t>
        </is>
      </c>
      <c r="C2" t="inlineStr">
        <is>
          <t>EVANS PRIMARY - THURMOND DAM (USA) #5 115KV REBUILD</t>
        </is>
      </c>
      <c r="D2" t="n">
        <v>4.09</v>
      </c>
      <c r="E2" t="n">
        <v>3074</v>
      </c>
      <c r="F2" t="inlineStr">
        <is>
          <t>OVL_5</t>
        </is>
      </c>
      <c r="G2" t="n">
        <v>4.09</v>
      </c>
      <c r="H2" t="n">
        <v>3074</v>
      </c>
      <c r="I2" t="b">
        <v>1</v>
      </c>
    </row>
    <row r="3">
      <c r="A3" t="inlineStr">
        <is>
          <t>OVL_2</t>
        </is>
      </c>
      <c r="B3" t="inlineStr">
        <is>
          <t>Jasper - Okatie 230 kV #2: Construct</t>
        </is>
      </c>
      <c r="C3" t="inlineStr">
        <is>
          <t>SAV: MCINTOSH - PURRYSBURG 230KV REACTORS</t>
        </is>
      </c>
      <c r="D3" t="n">
        <v>5.65</v>
      </c>
      <c r="E3" t="n">
        <v>152</v>
      </c>
      <c r="F3" t="inlineStr">
        <is>
          <t>OVL_1</t>
        </is>
      </c>
      <c r="G3" t="n">
        <v>5.65</v>
      </c>
      <c r="H3" t="n">
        <v>152</v>
      </c>
      <c r="I3" t="b">
        <v>1</v>
      </c>
    </row>
    <row r="4">
      <c r="A4" t="inlineStr">
        <is>
          <t>OVL_3</t>
        </is>
      </c>
      <c r="B4" t="inlineStr">
        <is>
          <t>Jasper - Okatie 230 kV #2: Construct</t>
        </is>
      </c>
      <c r="C4" t="inlineStr">
        <is>
          <t>SAV: GOSHEN (SAV) - MCINTOSH 115KV LINE REBUILD</t>
        </is>
      </c>
      <c r="D4" t="n">
        <v>7.55</v>
      </c>
      <c r="E4" t="n">
        <v>517</v>
      </c>
      <c r="F4" t="inlineStr">
        <is>
          <t>OVL_2</t>
        </is>
      </c>
      <c r="G4" t="n">
        <v>7.36</v>
      </c>
      <c r="H4" t="n">
        <v>517</v>
      </c>
      <c r="I4" t="b">
        <v>1</v>
      </c>
    </row>
    <row r="5">
      <c r="A5" t="inlineStr">
        <is>
          <t>OVL_4</t>
        </is>
      </c>
      <c r="B5" t="inlineStr">
        <is>
          <t>Stevens Creek - Hooks 115 kV / LR Plumb Branch 46 kV Rebuilds</t>
        </is>
      </c>
      <c r="C5" t="inlineStr">
        <is>
          <t>EVANS PRIMARY - THURMOND DAM (USA) #5 115KV REBUILD</t>
        </is>
      </c>
      <c r="D5" t="n">
        <v>8.01</v>
      </c>
      <c r="E5" t="n">
        <v>3074</v>
      </c>
      <c r="F5" t="inlineStr">
        <is>
          <t>OVL_9</t>
        </is>
      </c>
      <c r="G5" t="n">
        <v>8.01</v>
      </c>
      <c r="H5" t="n">
        <v>3074</v>
      </c>
      <c r="I5" t="b">
        <v>1</v>
      </c>
    </row>
    <row r="6">
      <c r="A6" t="inlineStr">
        <is>
          <t>OVL_5</t>
        </is>
      </c>
      <c r="B6" t="inlineStr">
        <is>
          <t>Okatie-Bluffton 115 kV: Rebuild</t>
        </is>
      </c>
      <c r="C6" t="inlineStr">
        <is>
          <t>SAV: MCINTOSH - PURRYSBURG 230KV REACTORS</t>
        </is>
      </c>
      <c r="D6" t="n">
        <v>14.34</v>
      </c>
      <c r="E6" t="n">
        <v>365</v>
      </c>
      <c r="F6" t="inlineStr">
        <is>
          <t>OVL_7</t>
        </is>
      </c>
      <c r="G6" t="n">
        <v>14.34</v>
      </c>
      <c r="H6" t="n">
        <v>365</v>
      </c>
      <c r="I6" t="b">
        <v>1</v>
      </c>
    </row>
    <row r="7">
      <c r="A7" t="inlineStr">
        <is>
          <t>OVL_6</t>
        </is>
      </c>
      <c r="B7" t="inlineStr">
        <is>
          <t>Okatie-Bluffton 115 kV: Rebuild</t>
        </is>
      </c>
      <c r="C7" t="inlineStr">
        <is>
          <t>SAV: GOSHEN (SAV) - MCINTOSH 115KV LINE REBUILD</t>
        </is>
      </c>
      <c r="D7" t="n">
        <v>14.81</v>
      </c>
      <c r="E7" t="n">
        <v>730</v>
      </c>
      <c r="F7" t="inlineStr">
        <is>
          <t>OVL_13</t>
        </is>
      </c>
      <c r="G7" t="n">
        <v>14.61</v>
      </c>
      <c r="H7" t="n">
        <v>730</v>
      </c>
      <c r="I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2026-09-26T23:54:42Z</dcterms:created>
  <dcterms:modified xsi:type="dcterms:W3CDTF">2026-09-26T23:54:42Z</dcterms:modified>
</cp:coreProperties>
</file>